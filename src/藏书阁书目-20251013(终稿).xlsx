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heji\personal\Cosmic_library\src\"/>
    </mc:Choice>
  </mc:AlternateContent>
  <xr:revisionPtr revIDLastSave="0" documentId="13_ncr:1_{311B5EA2-3C1F-454B-863D-A7074CF4C69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总览Dashboard" sheetId="15" r:id="rId1"/>
    <sheet name="中文书目" sheetId="8" r:id="rId2"/>
    <sheet name="Sheet1" sheetId="17" r:id="rId3"/>
    <sheet name="目录" sheetId="16" r:id="rId4"/>
    <sheet name="翻译对照表" sheetId="14" r:id="rId5"/>
    <sheet name="英文书目" sheetId="13" r:id="rId6"/>
  </sheets>
  <externalReferences>
    <externalReference r:id="rId7"/>
  </externalReferences>
  <definedNames>
    <definedName name="_xlnm._FilterDatabase" localSheetId="2" hidden="1">Sheet1!$B$1:$B$369</definedName>
    <definedName name="_xlnm._FilterDatabase" localSheetId="1" hidden="1">中文书目!$A$1:$AI$369</definedName>
    <definedName name="_xlnm._FilterDatabase" localSheetId="3" hidden="1">目录!$B$3:$J$34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14" l="1"/>
  <c r="C21" i="14"/>
  <c r="C34" i="16"/>
  <c r="C33" i="16"/>
  <c r="C32" i="16"/>
  <c r="C31" i="16"/>
  <c r="C30" i="16"/>
  <c r="C29" i="16"/>
  <c r="G28" i="16" a="1"/>
  <c r="G28" i="16"/>
  <c r="C28" i="16"/>
  <c r="G27" i="16"/>
  <c r="C27" i="16"/>
  <c r="G26" i="16"/>
  <c r="C26" i="16"/>
  <c r="G25" i="16"/>
  <c r="C25" i="16"/>
  <c r="G24" i="16"/>
  <c r="C24" i="16"/>
  <c r="G23" i="16"/>
  <c r="C23" i="16"/>
  <c r="G22" i="16"/>
  <c r="C22" i="16"/>
  <c r="G21" i="16"/>
  <c r="C21" i="16"/>
  <c r="G20" i="16"/>
  <c r="C20" i="16"/>
  <c r="G19" i="16"/>
  <c r="C19" i="16"/>
  <c r="G18" i="16"/>
  <c r="C18" i="16"/>
  <c r="G17" i="16"/>
  <c r="C17" i="16"/>
  <c r="G16" i="16"/>
  <c r="C16" i="16"/>
  <c r="G15" i="16"/>
  <c r="C15" i="16"/>
  <c r="G14" i="16"/>
  <c r="C14" i="16"/>
  <c r="G13" i="16"/>
  <c r="C13" i="16"/>
  <c r="G12" i="16"/>
  <c r="C12" i="16"/>
  <c r="J11" i="16"/>
  <c r="G11" i="16"/>
  <c r="C11" i="16"/>
  <c r="J10" i="16"/>
  <c r="G10" i="16"/>
  <c r="C10" i="16"/>
  <c r="J9" i="16"/>
  <c r="G9" i="16"/>
  <c r="C9" i="16"/>
  <c r="J8" i="16"/>
  <c r="G8" i="16"/>
  <c r="C8" i="16"/>
  <c r="J7" i="16"/>
  <c r="G7" i="16"/>
  <c r="C7" i="16"/>
  <c r="J6" i="16"/>
  <c r="G6" i="16"/>
  <c r="C6" i="16"/>
  <c r="J5" i="16"/>
  <c r="G5" i="16"/>
  <c r="C5" i="16"/>
  <c r="J4" i="16"/>
  <c r="G4" i="16"/>
  <c r="C4" i="16"/>
  <c r="AH369" i="8"/>
  <c r="AG369" i="8"/>
  <c r="AF369" i="8"/>
  <c r="AE369" i="8"/>
  <c r="K369" i="8"/>
  <c r="AH368" i="8"/>
  <c r="AG368" i="8"/>
  <c r="AF368" i="8"/>
  <c r="AE368" i="8"/>
  <c r="AH367" i="8"/>
  <c r="AG367" i="8"/>
  <c r="AF367" i="8"/>
  <c r="AE367" i="8"/>
  <c r="AH366" i="8"/>
  <c r="AG366" i="8"/>
  <c r="AF366" i="8"/>
  <c r="AE366" i="8"/>
  <c r="AH365" i="8"/>
  <c r="AG365" i="8"/>
  <c r="AF365" i="8"/>
  <c r="AE365" i="8"/>
  <c r="AH364" i="8"/>
  <c r="AG364" i="8"/>
  <c r="AF364" i="8"/>
  <c r="AE364" i="8"/>
  <c r="AH363" i="8"/>
  <c r="AG363" i="8"/>
  <c r="AF363" i="8"/>
  <c r="AE363" i="8"/>
  <c r="AH362" i="8"/>
  <c r="AG362" i="8"/>
  <c r="AF362" i="8"/>
  <c r="AE362" i="8"/>
  <c r="AH361" i="8"/>
  <c r="AG361" i="8"/>
  <c r="AF361" i="8"/>
  <c r="AE361" i="8"/>
  <c r="AH360" i="8"/>
  <c r="AG360" i="8"/>
  <c r="AF360" i="8"/>
  <c r="AE360" i="8"/>
  <c r="AH359" i="8"/>
  <c r="AG359" i="8"/>
  <c r="AF359" i="8"/>
  <c r="AE359" i="8"/>
  <c r="AH358" i="8"/>
  <c r="AG358" i="8"/>
  <c r="AF358" i="8"/>
  <c r="AE358" i="8"/>
  <c r="AH357" i="8"/>
  <c r="AG357" i="8"/>
  <c r="AF357" i="8"/>
  <c r="AE357" i="8"/>
  <c r="AH356" i="8"/>
  <c r="AG356" i="8"/>
  <c r="AF356" i="8"/>
  <c r="AE356" i="8"/>
  <c r="AH355" i="8"/>
  <c r="AG355" i="8"/>
  <c r="AF355" i="8"/>
  <c r="AE355" i="8"/>
  <c r="AH354" i="8"/>
  <c r="AG354" i="8"/>
  <c r="AF354" i="8"/>
  <c r="AE354" i="8"/>
  <c r="AH353" i="8"/>
  <c r="AG353" i="8"/>
  <c r="AF353" i="8"/>
  <c r="AE353" i="8"/>
  <c r="AH352" i="8"/>
  <c r="AG352" i="8"/>
  <c r="AF352" i="8"/>
  <c r="AE352" i="8"/>
  <c r="AH351" i="8"/>
  <c r="AG351" i="8"/>
  <c r="AF351" i="8"/>
  <c r="AE351" i="8"/>
  <c r="AH350" i="8"/>
  <c r="AG350" i="8"/>
  <c r="AF350" i="8"/>
  <c r="AE350" i="8"/>
  <c r="AH349" i="8"/>
  <c r="AG349" i="8"/>
  <c r="AF349" i="8"/>
  <c r="AE349" i="8"/>
  <c r="AH348" i="8"/>
  <c r="AG348" i="8"/>
  <c r="AF348" i="8"/>
  <c r="AE348" i="8"/>
  <c r="AH347" i="8"/>
  <c r="AG347" i="8"/>
  <c r="AF347" i="8"/>
  <c r="AE347" i="8"/>
  <c r="AH346" i="8"/>
  <c r="AG346" i="8"/>
  <c r="AF346" i="8"/>
  <c r="AE346" i="8"/>
  <c r="AH345" i="8"/>
  <c r="AG345" i="8"/>
  <c r="AF345" i="8"/>
  <c r="AE345" i="8"/>
  <c r="AH344" i="8"/>
  <c r="AG344" i="8"/>
  <c r="AF344" i="8"/>
  <c r="AE344" i="8"/>
  <c r="AH343" i="8"/>
  <c r="AG343" i="8"/>
  <c r="AF343" i="8"/>
  <c r="AE343" i="8"/>
  <c r="AH342" i="8"/>
  <c r="AG342" i="8"/>
  <c r="AF342" i="8"/>
  <c r="AE342" i="8"/>
  <c r="AH341" i="8"/>
  <c r="AG341" i="8"/>
  <c r="AF341" i="8"/>
  <c r="AE341" i="8"/>
  <c r="AH340" i="8"/>
  <c r="AG340" i="8"/>
  <c r="AF340" i="8"/>
  <c r="AE340" i="8"/>
  <c r="AH339" i="8"/>
  <c r="AG339" i="8"/>
  <c r="AF339" i="8"/>
  <c r="AE339" i="8"/>
  <c r="AH338" i="8"/>
  <c r="AG338" i="8"/>
  <c r="AF338" i="8"/>
  <c r="AE338" i="8"/>
  <c r="AH337" i="8"/>
  <c r="AG337" i="8"/>
  <c r="AF337" i="8"/>
  <c r="AE337" i="8"/>
  <c r="AH336" i="8"/>
  <c r="AG336" i="8"/>
  <c r="AF336" i="8"/>
  <c r="AE336" i="8"/>
  <c r="AH335" i="8"/>
  <c r="AG335" i="8"/>
  <c r="AF335" i="8"/>
  <c r="AE335" i="8"/>
  <c r="AH334" i="8"/>
  <c r="AG334" i="8"/>
  <c r="AF334" i="8"/>
  <c r="AE334" i="8"/>
  <c r="C334" i="8"/>
  <c r="AH333" i="8"/>
  <c r="AG333" i="8"/>
  <c r="AF333" i="8"/>
  <c r="AE333" i="8"/>
  <c r="K333" i="8"/>
  <c r="C333" i="8"/>
  <c r="AH332" i="8"/>
  <c r="AG332" i="8"/>
  <c r="AF332" i="8"/>
  <c r="AE332" i="8"/>
  <c r="K332" i="8"/>
  <c r="C332" i="8"/>
  <c r="AH331" i="8"/>
  <c r="AG331" i="8"/>
  <c r="AF331" i="8"/>
  <c r="AE331" i="8"/>
  <c r="K331" i="8"/>
  <c r="C331" i="8"/>
  <c r="AH330" i="8"/>
  <c r="AG330" i="8"/>
  <c r="AF330" i="8"/>
  <c r="AE330" i="8"/>
  <c r="K330" i="8"/>
  <c r="C330" i="8"/>
  <c r="AH329" i="8"/>
  <c r="AG329" i="8"/>
  <c r="AF329" i="8"/>
  <c r="AE329" i="8"/>
  <c r="K329" i="8"/>
  <c r="C329" i="8"/>
  <c r="AH328" i="8"/>
  <c r="AG328" i="8"/>
  <c r="AF328" i="8"/>
  <c r="AE328" i="8"/>
  <c r="K328" i="8"/>
  <c r="C328" i="8"/>
  <c r="AH327" i="8"/>
  <c r="AG327" i="8"/>
  <c r="AF327" i="8"/>
  <c r="AE327" i="8"/>
  <c r="K327" i="8"/>
  <c r="C327" i="8"/>
  <c r="AH326" i="8"/>
  <c r="AG326" i="8"/>
  <c r="AF326" i="8"/>
  <c r="AE326" i="8"/>
  <c r="K326" i="8"/>
  <c r="C326" i="8"/>
  <c r="AH325" i="8"/>
  <c r="AG325" i="8"/>
  <c r="AF325" i="8"/>
  <c r="AE325" i="8"/>
  <c r="K325" i="8"/>
  <c r="C325" i="8"/>
  <c r="AH324" i="8"/>
  <c r="AG324" i="8"/>
  <c r="AF324" i="8"/>
  <c r="AE324" i="8"/>
  <c r="K324" i="8"/>
  <c r="C324" i="8"/>
  <c r="AH323" i="8"/>
  <c r="AG323" i="8"/>
  <c r="AF323" i="8"/>
  <c r="AE323" i="8"/>
  <c r="K323" i="8"/>
  <c r="C323" i="8"/>
  <c r="AH322" i="8"/>
  <c r="AG322" i="8"/>
  <c r="AF322" i="8"/>
  <c r="AE322" i="8"/>
  <c r="K322" i="8"/>
  <c r="C322" i="8"/>
  <c r="AH321" i="8"/>
  <c r="AG321" i="8"/>
  <c r="AF321" i="8"/>
  <c r="AE321" i="8"/>
  <c r="K321" i="8"/>
  <c r="C321" i="8"/>
  <c r="AH320" i="8"/>
  <c r="AG320" i="8"/>
  <c r="AF320" i="8"/>
  <c r="AE320" i="8"/>
  <c r="K320" i="8"/>
  <c r="C320" i="8"/>
  <c r="AH319" i="8"/>
  <c r="AG319" i="8"/>
  <c r="AF319" i="8"/>
  <c r="AE319" i="8"/>
  <c r="K319" i="8"/>
  <c r="C319" i="8"/>
  <c r="AH318" i="8"/>
  <c r="AG318" i="8"/>
  <c r="AF318" i="8"/>
  <c r="AE318" i="8"/>
  <c r="K318" i="8"/>
  <c r="C318" i="8"/>
  <c r="AH317" i="8"/>
  <c r="AG317" i="8"/>
  <c r="AF317" i="8"/>
  <c r="AE317" i="8"/>
  <c r="K317" i="8"/>
  <c r="C317" i="8"/>
  <c r="AH316" i="8"/>
  <c r="AG316" i="8"/>
  <c r="AF316" i="8"/>
  <c r="AE316" i="8"/>
  <c r="K316" i="8"/>
  <c r="C316" i="8"/>
  <c r="AH315" i="8"/>
  <c r="AG315" i="8"/>
  <c r="AF315" i="8"/>
  <c r="AE315" i="8"/>
  <c r="K315" i="8"/>
  <c r="C315" i="8"/>
  <c r="AH314" i="8"/>
  <c r="AG314" i="8"/>
  <c r="AF314" i="8"/>
  <c r="AE314" i="8"/>
  <c r="K314" i="8"/>
  <c r="C314" i="8"/>
  <c r="AH313" i="8"/>
  <c r="AG313" i="8"/>
  <c r="AF313" i="8"/>
  <c r="AE313" i="8"/>
  <c r="K313" i="8"/>
  <c r="C313" i="8"/>
  <c r="AH312" i="8"/>
  <c r="AG312" i="8"/>
  <c r="AF312" i="8"/>
  <c r="AE312" i="8"/>
  <c r="K312" i="8"/>
  <c r="C312" i="8"/>
  <c r="AH311" i="8"/>
  <c r="AG311" i="8"/>
  <c r="AF311" i="8"/>
  <c r="AE311" i="8"/>
  <c r="K311" i="8"/>
  <c r="C311" i="8"/>
  <c r="AH310" i="8"/>
  <c r="AG310" i="8"/>
  <c r="AF310" i="8"/>
  <c r="AE310" i="8"/>
  <c r="C310" i="8"/>
  <c r="AH309" i="8"/>
  <c r="AG309" i="8"/>
  <c r="AF309" i="8"/>
  <c r="AE309" i="8"/>
  <c r="K309" i="8"/>
  <c r="C309" i="8"/>
  <c r="AH308" i="8"/>
  <c r="AG308" i="8"/>
  <c r="AF308" i="8"/>
  <c r="AE308" i="8"/>
  <c r="K308" i="8"/>
  <c r="C308" i="8"/>
  <c r="AH307" i="8"/>
  <c r="AG307" i="8"/>
  <c r="AF307" i="8"/>
  <c r="AE307" i="8"/>
  <c r="K307" i="8"/>
  <c r="C307" i="8"/>
  <c r="AH306" i="8"/>
  <c r="AG306" i="8"/>
  <c r="AF306" i="8"/>
  <c r="AE306" i="8"/>
  <c r="K306" i="8"/>
  <c r="C306" i="8"/>
  <c r="AH305" i="8"/>
  <c r="AG305" i="8"/>
  <c r="AF305" i="8"/>
  <c r="AE305" i="8"/>
  <c r="K305" i="8"/>
  <c r="C305" i="8"/>
  <c r="AH304" i="8"/>
  <c r="AG304" i="8"/>
  <c r="AF304" i="8"/>
  <c r="AE304" i="8"/>
  <c r="C304" i="8"/>
  <c r="AH303" i="8"/>
  <c r="AG303" i="8"/>
  <c r="AF303" i="8"/>
  <c r="AE303" i="8"/>
  <c r="K303" i="8"/>
  <c r="C303" i="8"/>
  <c r="AH302" i="8"/>
  <c r="AG302" i="8"/>
  <c r="AF302" i="8"/>
  <c r="AE302" i="8"/>
  <c r="K302" i="8"/>
  <c r="C302" i="8"/>
  <c r="AH301" i="8"/>
  <c r="AG301" i="8"/>
  <c r="AF301" i="8"/>
  <c r="AE301" i="8"/>
  <c r="C301" i="8"/>
  <c r="AH300" i="8"/>
  <c r="AG300" i="8"/>
  <c r="AF300" i="8"/>
  <c r="AE300" i="8"/>
  <c r="C300" i="8"/>
  <c r="AH299" i="8"/>
  <c r="AG299" i="8"/>
  <c r="AF299" i="8"/>
  <c r="AE299" i="8"/>
  <c r="K299" i="8"/>
  <c r="C299" i="8"/>
  <c r="AH298" i="8"/>
  <c r="AG298" i="8"/>
  <c r="AF298" i="8"/>
  <c r="AE298" i="8"/>
  <c r="K298" i="8"/>
  <c r="C298" i="8"/>
  <c r="AH297" i="8"/>
  <c r="AG297" i="8"/>
  <c r="AF297" i="8"/>
  <c r="AE297" i="8"/>
  <c r="K297" i="8"/>
  <c r="C297" i="8"/>
  <c r="AH296" i="8"/>
  <c r="AG296" i="8"/>
  <c r="AF296" i="8"/>
  <c r="AE296" i="8"/>
  <c r="K296" i="8"/>
  <c r="C296" i="8"/>
  <c r="AH295" i="8"/>
  <c r="AG295" i="8"/>
  <c r="AF295" i="8"/>
  <c r="AE295" i="8"/>
  <c r="K295" i="8"/>
  <c r="C295" i="8"/>
  <c r="AH294" i="8"/>
  <c r="AG294" i="8"/>
  <c r="AF294" i="8"/>
  <c r="AE294" i="8"/>
  <c r="C294" i="8"/>
  <c r="AH293" i="8"/>
  <c r="AG293" i="8"/>
  <c r="AF293" i="8"/>
  <c r="AE293" i="8"/>
  <c r="K293" i="8"/>
  <c r="C293" i="8"/>
  <c r="AH292" i="8"/>
  <c r="AG292" i="8"/>
  <c r="AF292" i="8"/>
  <c r="AE292" i="8"/>
  <c r="C292" i="8"/>
  <c r="AH291" i="8"/>
  <c r="AG291" i="8"/>
  <c r="AF291" i="8"/>
  <c r="AE291" i="8"/>
  <c r="C291" i="8"/>
  <c r="AH290" i="8"/>
  <c r="AG290" i="8"/>
  <c r="AF290" i="8"/>
  <c r="AE290" i="8"/>
  <c r="K290" i="8"/>
  <c r="C290" i="8"/>
  <c r="AH289" i="8"/>
  <c r="AG289" i="8"/>
  <c r="AF289" i="8"/>
  <c r="AE289" i="8"/>
  <c r="C289" i="8"/>
  <c r="AH288" i="8"/>
  <c r="AG288" i="8"/>
  <c r="AF288" i="8"/>
  <c r="AE288" i="8"/>
  <c r="K288" i="8"/>
  <c r="C288" i="8"/>
  <c r="AH287" i="8"/>
  <c r="AG287" i="8"/>
  <c r="AF287" i="8"/>
  <c r="AE287" i="8"/>
  <c r="K287" i="8"/>
  <c r="C287" i="8"/>
  <c r="AH286" i="8"/>
  <c r="AG286" i="8"/>
  <c r="AF286" i="8"/>
  <c r="AE286" i="8"/>
  <c r="K286" i="8"/>
  <c r="C286" i="8"/>
  <c r="AH285" i="8"/>
  <c r="AG285" i="8"/>
  <c r="AF285" i="8"/>
  <c r="AE285" i="8"/>
  <c r="K285" i="8"/>
  <c r="C285" i="8"/>
  <c r="AH284" i="8"/>
  <c r="AG284" i="8"/>
  <c r="AF284" i="8"/>
  <c r="AE284" i="8"/>
  <c r="K284" i="8"/>
  <c r="C284" i="8"/>
  <c r="AH283" i="8"/>
  <c r="AG283" i="8"/>
  <c r="AF283" i="8"/>
  <c r="AE283" i="8"/>
  <c r="K283" i="8"/>
  <c r="C283" i="8"/>
  <c r="AH282" i="8"/>
  <c r="AG282" i="8"/>
  <c r="AF282" i="8"/>
  <c r="AE282" i="8"/>
  <c r="K282" i="8"/>
  <c r="C282" i="8"/>
  <c r="AH281" i="8"/>
  <c r="AG281" i="8"/>
  <c r="AF281" i="8"/>
  <c r="AE281" i="8"/>
  <c r="C281" i="8"/>
  <c r="AH280" i="8"/>
  <c r="AG280" i="8"/>
  <c r="AF280" i="8"/>
  <c r="AE280" i="8"/>
  <c r="K280" i="8"/>
  <c r="C280" i="8"/>
  <c r="AH279" i="8"/>
  <c r="AG279" i="8"/>
  <c r="AF279" i="8"/>
  <c r="AE279" i="8"/>
  <c r="C279" i="8"/>
  <c r="AH278" i="8"/>
  <c r="AG278" i="8"/>
  <c r="AF278" i="8"/>
  <c r="AE278" i="8"/>
  <c r="K278" i="8"/>
  <c r="C278" i="8"/>
  <c r="AH277" i="8"/>
  <c r="AG277" i="8"/>
  <c r="AF277" i="8"/>
  <c r="AE277" i="8"/>
  <c r="C277" i="8"/>
  <c r="AH276" i="8"/>
  <c r="AG276" i="8"/>
  <c r="AF276" i="8"/>
  <c r="AE276" i="8"/>
  <c r="K276" i="8"/>
  <c r="C276" i="8"/>
  <c r="AH275" i="8"/>
  <c r="AG275" i="8"/>
  <c r="AF275" i="8"/>
  <c r="AE275" i="8"/>
  <c r="K275" i="8"/>
  <c r="C275" i="8"/>
  <c r="AH274" i="8"/>
  <c r="AG274" i="8"/>
  <c r="AF274" i="8"/>
  <c r="AE274" i="8"/>
  <c r="C274" i="8"/>
  <c r="AH273" i="8"/>
  <c r="AG273" i="8"/>
  <c r="AF273" i="8"/>
  <c r="AE273" i="8"/>
  <c r="K273" i="8"/>
  <c r="C273" i="8"/>
  <c r="AH272" i="8"/>
  <c r="AG272" i="8"/>
  <c r="AF272" i="8"/>
  <c r="AE272" i="8"/>
  <c r="K272" i="8"/>
  <c r="C272" i="8"/>
  <c r="AH271" i="8"/>
  <c r="AG271" i="8"/>
  <c r="AF271" i="8"/>
  <c r="AE271" i="8"/>
  <c r="C271" i="8"/>
  <c r="AH270" i="8"/>
  <c r="AG270" i="8"/>
  <c r="AF270" i="8"/>
  <c r="AE270" i="8"/>
  <c r="K270" i="8"/>
  <c r="C270" i="8"/>
  <c r="AH269" i="8"/>
  <c r="AG269" i="8"/>
  <c r="AF269" i="8"/>
  <c r="AE269" i="8"/>
  <c r="K269" i="8"/>
  <c r="C269" i="8"/>
  <c r="AH268" i="8"/>
  <c r="AG268" i="8"/>
  <c r="AF268" i="8"/>
  <c r="AE268" i="8"/>
  <c r="K268" i="8"/>
  <c r="C268" i="8"/>
  <c r="AH267" i="8"/>
  <c r="AG267" i="8"/>
  <c r="AF267" i="8"/>
  <c r="AE267" i="8"/>
  <c r="K267" i="8"/>
  <c r="C267" i="8"/>
  <c r="AH266" i="8"/>
  <c r="AG266" i="8"/>
  <c r="AF266" i="8"/>
  <c r="AE266" i="8"/>
  <c r="K266" i="8"/>
  <c r="C266" i="8"/>
  <c r="AH265" i="8"/>
  <c r="AG265" i="8"/>
  <c r="AF265" i="8"/>
  <c r="AE265" i="8"/>
  <c r="K265" i="8"/>
  <c r="C265" i="8"/>
  <c r="AH264" i="8"/>
  <c r="AG264" i="8"/>
  <c r="AF264" i="8"/>
  <c r="AE264" i="8"/>
  <c r="K264" i="8"/>
  <c r="C264" i="8"/>
  <c r="AH263" i="8"/>
  <c r="AG263" i="8"/>
  <c r="AF263" i="8"/>
  <c r="AE263" i="8"/>
  <c r="K263" i="8"/>
  <c r="C263" i="8"/>
  <c r="AH262" i="8"/>
  <c r="AG262" i="8"/>
  <c r="AF262" i="8"/>
  <c r="AE262" i="8"/>
  <c r="K262" i="8"/>
  <c r="C262" i="8"/>
  <c r="AH261" i="8"/>
  <c r="AG261" i="8"/>
  <c r="AF261" i="8"/>
  <c r="AE261" i="8"/>
  <c r="C261" i="8"/>
  <c r="AH260" i="8"/>
  <c r="AG260" i="8"/>
  <c r="AF260" i="8"/>
  <c r="AE260" i="8"/>
  <c r="K260" i="8"/>
  <c r="C260" i="8"/>
  <c r="AH259" i="8"/>
  <c r="AG259" i="8"/>
  <c r="AF259" i="8"/>
  <c r="AE259" i="8"/>
  <c r="C259" i="8"/>
  <c r="AH258" i="8"/>
  <c r="AG258" i="8"/>
  <c r="AF258" i="8"/>
  <c r="AE258" i="8"/>
  <c r="K258" i="8"/>
  <c r="C258" i="8"/>
  <c r="AH257" i="8"/>
  <c r="AG257" i="8"/>
  <c r="AF257" i="8"/>
  <c r="AE257" i="8"/>
  <c r="K257" i="8"/>
  <c r="C257" i="8"/>
  <c r="AH256" i="8"/>
  <c r="AG256" i="8"/>
  <c r="AF256" i="8"/>
  <c r="AE256" i="8"/>
  <c r="K256" i="8"/>
  <c r="C256" i="8"/>
  <c r="AH255" i="8"/>
  <c r="AG255" i="8"/>
  <c r="AF255" i="8"/>
  <c r="AE255" i="8"/>
  <c r="K255" i="8"/>
  <c r="C255" i="8"/>
  <c r="AH254" i="8"/>
  <c r="AG254" i="8"/>
  <c r="AF254" i="8"/>
  <c r="AE254" i="8"/>
  <c r="C254" i="8"/>
  <c r="AH253" i="8"/>
  <c r="AG253" i="8"/>
  <c r="AF253" i="8"/>
  <c r="AE253" i="8"/>
  <c r="K253" i="8"/>
  <c r="C253" i="8"/>
  <c r="AH252" i="8"/>
  <c r="AG252" i="8"/>
  <c r="AF252" i="8"/>
  <c r="AE252" i="8"/>
  <c r="K252" i="8"/>
  <c r="C252" i="8"/>
  <c r="AH251" i="8"/>
  <c r="AG251" i="8"/>
  <c r="AF251" i="8"/>
  <c r="AE251" i="8"/>
  <c r="K251" i="8"/>
  <c r="C251" i="8"/>
  <c r="AH250" i="8"/>
  <c r="AG250" i="8"/>
  <c r="AF250" i="8"/>
  <c r="AE250" i="8"/>
  <c r="K250" i="8"/>
  <c r="C250" i="8"/>
  <c r="AH249" i="8"/>
  <c r="AG249" i="8"/>
  <c r="AF249" i="8"/>
  <c r="AE249" i="8"/>
  <c r="K249" i="8"/>
  <c r="C249" i="8"/>
  <c r="AH248" i="8"/>
  <c r="AG248" i="8"/>
  <c r="AF248" i="8"/>
  <c r="AE248" i="8"/>
  <c r="C248" i="8"/>
  <c r="AH247" i="8"/>
  <c r="AG247" i="8"/>
  <c r="AF247" i="8"/>
  <c r="AE247" i="8"/>
  <c r="K247" i="8"/>
  <c r="C247" i="8"/>
  <c r="AH246" i="8"/>
  <c r="AG246" i="8"/>
  <c r="AF246" i="8"/>
  <c r="AE246" i="8"/>
  <c r="K246" i="8"/>
  <c r="C246" i="8"/>
  <c r="AH245" i="8"/>
  <c r="AG245" i="8"/>
  <c r="AF245" i="8"/>
  <c r="AE245" i="8"/>
  <c r="K245" i="8"/>
  <c r="C245" i="8"/>
  <c r="AH244" i="8"/>
  <c r="AG244" i="8"/>
  <c r="AF244" i="8"/>
  <c r="AE244" i="8"/>
  <c r="K244" i="8"/>
  <c r="C244" i="8"/>
  <c r="AH243" i="8"/>
  <c r="AG243" i="8"/>
  <c r="AF243" i="8"/>
  <c r="AE243" i="8"/>
  <c r="C243" i="8"/>
  <c r="AH242" i="8"/>
  <c r="AG242" i="8"/>
  <c r="AF242" i="8"/>
  <c r="AE242" i="8"/>
  <c r="K242" i="8"/>
  <c r="C242" i="8"/>
  <c r="AH241" i="8"/>
  <c r="AG241" i="8"/>
  <c r="AF241" i="8"/>
  <c r="AE241" i="8"/>
  <c r="C241" i="8"/>
  <c r="AH240" i="8"/>
  <c r="AG240" i="8"/>
  <c r="AF240" i="8"/>
  <c r="AE240" i="8"/>
  <c r="K240" i="8"/>
  <c r="C240" i="8"/>
  <c r="AH239" i="8"/>
  <c r="AG239" i="8"/>
  <c r="AF239" i="8"/>
  <c r="AE239" i="8"/>
  <c r="K239" i="8"/>
  <c r="C239" i="8"/>
  <c r="AH238" i="8"/>
  <c r="AG238" i="8"/>
  <c r="AF238" i="8"/>
  <c r="AE238" i="8"/>
  <c r="K238" i="8"/>
  <c r="C238" i="8"/>
  <c r="AH237" i="8"/>
  <c r="AG237" i="8"/>
  <c r="AF237" i="8"/>
  <c r="AE237" i="8"/>
  <c r="K237" i="8"/>
  <c r="C237" i="8"/>
  <c r="AH236" i="8"/>
  <c r="AG236" i="8"/>
  <c r="AF236" i="8"/>
  <c r="AE236" i="8"/>
  <c r="K236" i="8"/>
  <c r="C236" i="8"/>
  <c r="AH235" i="8"/>
  <c r="AG235" i="8"/>
  <c r="AF235" i="8"/>
  <c r="AE235" i="8"/>
  <c r="K235" i="8"/>
  <c r="C235" i="8"/>
  <c r="AH234" i="8"/>
  <c r="AG234" i="8"/>
  <c r="AF234" i="8"/>
  <c r="AE234" i="8"/>
  <c r="K234" i="8"/>
  <c r="C234" i="8"/>
  <c r="AH233" i="8"/>
  <c r="AG233" i="8"/>
  <c r="AF233" i="8"/>
  <c r="AE233" i="8"/>
  <c r="K233" i="8"/>
  <c r="C233" i="8"/>
  <c r="AH232" i="8"/>
  <c r="AG232" i="8"/>
  <c r="AF232" i="8"/>
  <c r="AE232" i="8"/>
  <c r="C232" i="8"/>
  <c r="AH231" i="8"/>
  <c r="AG231" i="8"/>
  <c r="AF231" i="8"/>
  <c r="AE231" i="8"/>
  <c r="K231" i="8"/>
  <c r="C231" i="8"/>
  <c r="AH230" i="8"/>
  <c r="AG230" i="8"/>
  <c r="AF230" i="8"/>
  <c r="AE230" i="8"/>
  <c r="C230" i="8"/>
  <c r="AH229" i="8"/>
  <c r="AG229" i="8"/>
  <c r="AF229" i="8"/>
  <c r="AE229" i="8"/>
  <c r="K229" i="8"/>
  <c r="C229" i="8"/>
  <c r="AH228" i="8"/>
  <c r="AG228" i="8"/>
  <c r="AF228" i="8"/>
  <c r="AE228" i="8"/>
  <c r="K228" i="8"/>
  <c r="C228" i="8"/>
  <c r="AH227" i="8"/>
  <c r="AG227" i="8"/>
  <c r="AF227" i="8"/>
  <c r="AE227" i="8"/>
  <c r="C227" i="8"/>
  <c r="AH226" i="8"/>
  <c r="AG226" i="8"/>
  <c r="AF226" i="8"/>
  <c r="AE226" i="8"/>
  <c r="C226" i="8"/>
  <c r="AH225" i="8"/>
  <c r="AG225" i="8"/>
  <c r="AF225" i="8"/>
  <c r="AE225" i="8"/>
  <c r="K225" i="8"/>
  <c r="C225" i="8"/>
  <c r="AH224" i="8"/>
  <c r="AG224" i="8"/>
  <c r="AF224" i="8"/>
  <c r="AE224" i="8"/>
  <c r="C224" i="8"/>
  <c r="AH223" i="8"/>
  <c r="AG223" i="8"/>
  <c r="AF223" i="8"/>
  <c r="AE223" i="8"/>
  <c r="K223" i="8"/>
  <c r="C223" i="8"/>
  <c r="AH222" i="8"/>
  <c r="AG222" i="8"/>
  <c r="AF222" i="8"/>
  <c r="AE222" i="8"/>
  <c r="C222" i="8"/>
  <c r="AH221" i="8"/>
  <c r="AG221" i="8"/>
  <c r="AF221" i="8"/>
  <c r="AE221" i="8"/>
  <c r="K221" i="8"/>
  <c r="C221" i="8"/>
  <c r="AH220" i="8"/>
  <c r="AG220" i="8"/>
  <c r="AF220" i="8"/>
  <c r="AE220" i="8"/>
  <c r="C220" i="8"/>
  <c r="AH219" i="8"/>
  <c r="AG219" i="8"/>
  <c r="AF219" i="8"/>
  <c r="AE219" i="8"/>
  <c r="C219" i="8"/>
  <c r="AH218" i="8"/>
  <c r="AG218" i="8"/>
  <c r="AF218" i="8"/>
  <c r="AE218" i="8"/>
  <c r="K218" i="8"/>
  <c r="C218" i="8"/>
  <c r="AH217" i="8"/>
  <c r="AG217" i="8"/>
  <c r="AF217" i="8"/>
  <c r="AE217" i="8"/>
  <c r="K217" i="8"/>
  <c r="C217" i="8"/>
  <c r="AH216" i="8"/>
  <c r="AG216" i="8"/>
  <c r="AF216" i="8"/>
  <c r="AE216" i="8"/>
  <c r="K216" i="8"/>
  <c r="C216" i="8"/>
  <c r="AH215" i="8"/>
  <c r="AG215" i="8"/>
  <c r="AF215" i="8"/>
  <c r="AE215" i="8"/>
  <c r="C215" i="8"/>
  <c r="AH214" i="8"/>
  <c r="AG214" i="8"/>
  <c r="AF214" i="8"/>
  <c r="AE214" i="8"/>
  <c r="K214" i="8"/>
  <c r="C214" i="8"/>
  <c r="AH213" i="8"/>
  <c r="AG213" i="8"/>
  <c r="AF213" i="8"/>
  <c r="AE213" i="8"/>
  <c r="K213" i="8"/>
  <c r="C213" i="8"/>
  <c r="AH212" i="8"/>
  <c r="AG212" i="8"/>
  <c r="AF212" i="8"/>
  <c r="AE212" i="8"/>
  <c r="K212" i="8"/>
  <c r="C212" i="8"/>
  <c r="AH211" i="8"/>
  <c r="AG211" i="8"/>
  <c r="AF211" i="8"/>
  <c r="AE211" i="8"/>
  <c r="K211" i="8"/>
  <c r="C211" i="8"/>
  <c r="AH210" i="8"/>
  <c r="AG210" i="8"/>
  <c r="AF210" i="8"/>
  <c r="AE210" i="8"/>
  <c r="C210" i="8"/>
  <c r="AH209" i="8"/>
  <c r="AG209" i="8"/>
  <c r="AF209" i="8"/>
  <c r="AE209" i="8"/>
  <c r="K209" i="8"/>
  <c r="C209" i="8"/>
  <c r="AH208" i="8"/>
  <c r="AG208" i="8"/>
  <c r="AF208" i="8"/>
  <c r="AE208" i="8"/>
  <c r="C208" i="8"/>
  <c r="AH207" i="8"/>
  <c r="AG207" i="8"/>
  <c r="AF207" i="8"/>
  <c r="AE207" i="8"/>
  <c r="K207" i="8"/>
  <c r="C207" i="8"/>
  <c r="AH206" i="8"/>
  <c r="AG206" i="8"/>
  <c r="AF206" i="8"/>
  <c r="AE206" i="8"/>
  <c r="K206" i="8"/>
  <c r="C206" i="8"/>
  <c r="AH205" i="8"/>
  <c r="AG205" i="8"/>
  <c r="AF205" i="8"/>
  <c r="AE205" i="8"/>
  <c r="K205" i="8"/>
  <c r="C205" i="8"/>
  <c r="AH204" i="8"/>
  <c r="AG204" i="8"/>
  <c r="AF204" i="8"/>
  <c r="AE204" i="8"/>
  <c r="C204" i="8"/>
  <c r="AH203" i="8"/>
  <c r="AG203" i="8"/>
  <c r="AF203" i="8"/>
  <c r="AE203" i="8"/>
  <c r="K203" i="8"/>
  <c r="C203" i="8"/>
  <c r="AH202" i="8"/>
  <c r="AG202" i="8"/>
  <c r="AF202" i="8"/>
  <c r="AE202" i="8"/>
  <c r="K202" i="8"/>
  <c r="C202" i="8"/>
  <c r="AH201" i="8"/>
  <c r="AG201" i="8"/>
  <c r="AF201" i="8"/>
  <c r="AE201" i="8"/>
  <c r="O201" i="8"/>
  <c r="K201" i="8"/>
  <c r="C201" i="8"/>
  <c r="AH200" i="8"/>
  <c r="AG200" i="8"/>
  <c r="AF200" i="8"/>
  <c r="AE200" i="8"/>
  <c r="O200" i="8"/>
  <c r="K200" i="8"/>
  <c r="C200" i="8"/>
  <c r="AH199" i="8"/>
  <c r="AG199" i="8"/>
  <c r="AF199" i="8"/>
  <c r="AE199" i="8"/>
  <c r="O199" i="8"/>
  <c r="C199" i="8"/>
  <c r="AH198" i="8"/>
  <c r="AG198" i="8"/>
  <c r="AF198" i="8"/>
  <c r="AE198" i="8"/>
  <c r="K198" i="8"/>
  <c r="C198" i="8"/>
  <c r="AH197" i="8"/>
  <c r="AG197" i="8"/>
  <c r="AF197" i="8"/>
  <c r="AE197" i="8"/>
  <c r="O197" i="8"/>
  <c r="K197" i="8"/>
  <c r="C197" i="8"/>
  <c r="AH196" i="8"/>
  <c r="AG196" i="8"/>
  <c r="AF196" i="8"/>
  <c r="AE196" i="8"/>
  <c r="O196" i="8"/>
  <c r="K196" i="8"/>
  <c r="C196" i="8"/>
  <c r="AH195" i="8"/>
  <c r="AG195" i="8"/>
  <c r="AF195" i="8"/>
  <c r="AE195" i="8"/>
  <c r="O195" i="8"/>
  <c r="K195" i="8"/>
  <c r="C195" i="8"/>
  <c r="AH194" i="8"/>
  <c r="AG194" i="8"/>
  <c r="AF194" i="8"/>
  <c r="AE194" i="8"/>
  <c r="O194" i="8"/>
  <c r="C194" i="8"/>
  <c r="AH193" i="8"/>
  <c r="AG193" i="8"/>
  <c r="AF193" i="8"/>
  <c r="AE193" i="8"/>
  <c r="O193" i="8"/>
  <c r="C193" i="8"/>
  <c r="AH192" i="8"/>
  <c r="AG192" i="8"/>
  <c r="AF192" i="8"/>
  <c r="AE192" i="8"/>
  <c r="O192" i="8"/>
  <c r="K192" i="8"/>
  <c r="C192" i="8"/>
  <c r="AH191" i="8"/>
  <c r="AG191" i="8"/>
  <c r="AF191" i="8"/>
  <c r="AE191" i="8"/>
  <c r="O191" i="8"/>
  <c r="K191" i="8"/>
  <c r="C191" i="8"/>
  <c r="AH190" i="8"/>
  <c r="AG190" i="8"/>
  <c r="AF190" i="8"/>
  <c r="AE190" i="8"/>
  <c r="O190" i="8"/>
  <c r="C190" i="8"/>
  <c r="AH189" i="8"/>
  <c r="AG189" i="8"/>
  <c r="AF189" i="8"/>
  <c r="AE189" i="8"/>
  <c r="O189" i="8"/>
  <c r="K189" i="8"/>
  <c r="C189" i="8"/>
  <c r="AH188" i="8"/>
  <c r="AG188" i="8"/>
  <c r="AF188" i="8"/>
  <c r="AE188" i="8"/>
  <c r="O188" i="8"/>
  <c r="K188" i="8"/>
  <c r="C188" i="8"/>
  <c r="AH187" i="8"/>
  <c r="AG187" i="8"/>
  <c r="AF187" i="8"/>
  <c r="AE187" i="8"/>
  <c r="O187" i="8"/>
  <c r="K187" i="8"/>
  <c r="C187" i="8"/>
  <c r="AH186" i="8"/>
  <c r="AG186" i="8"/>
  <c r="AF186" i="8"/>
  <c r="AE186" i="8"/>
  <c r="O186" i="8"/>
  <c r="C186" i="8"/>
  <c r="AH185" i="8"/>
  <c r="AG185" i="8"/>
  <c r="AF185" i="8"/>
  <c r="AE185" i="8"/>
  <c r="O185" i="8"/>
  <c r="C185" i="8"/>
  <c r="AH184" i="8"/>
  <c r="AG184" i="8"/>
  <c r="AF184" i="8"/>
  <c r="AE184" i="8"/>
  <c r="O184" i="8"/>
  <c r="K184" i="8"/>
  <c r="C184" i="8"/>
  <c r="AH183" i="8"/>
  <c r="AG183" i="8"/>
  <c r="AF183" i="8"/>
  <c r="AE183" i="8"/>
  <c r="O183" i="8"/>
  <c r="K183" i="8"/>
  <c r="C183" i="8"/>
  <c r="AH182" i="8"/>
  <c r="AG182" i="8"/>
  <c r="AF182" i="8"/>
  <c r="AE182" i="8"/>
  <c r="O182" i="8"/>
  <c r="K182" i="8"/>
  <c r="C182" i="8"/>
  <c r="AH181" i="8"/>
  <c r="AG181" i="8"/>
  <c r="AF181" i="8"/>
  <c r="AE181" i="8"/>
  <c r="O181" i="8"/>
  <c r="K181" i="8"/>
  <c r="C181" i="8"/>
  <c r="AH180" i="8"/>
  <c r="AG180" i="8"/>
  <c r="AF180" i="8"/>
  <c r="AE180" i="8"/>
  <c r="O180" i="8"/>
  <c r="K180" i="8"/>
  <c r="C180" i="8"/>
  <c r="AH179" i="8"/>
  <c r="AG179" i="8"/>
  <c r="AF179" i="8"/>
  <c r="AE179" i="8"/>
  <c r="O179" i="8"/>
  <c r="K179" i="8"/>
  <c r="C179" i="8"/>
  <c r="AH178" i="8"/>
  <c r="AG178" i="8"/>
  <c r="AF178" i="8"/>
  <c r="AE178" i="8"/>
  <c r="O178" i="8"/>
  <c r="K178" i="8"/>
  <c r="C178" i="8"/>
  <c r="AH177" i="8"/>
  <c r="AG177" i="8"/>
  <c r="AF177" i="8"/>
  <c r="AE177" i="8"/>
  <c r="O177" i="8"/>
  <c r="K177" i="8"/>
  <c r="C177" i="8"/>
  <c r="AH176" i="8"/>
  <c r="AG176" i="8"/>
  <c r="AF176" i="8"/>
  <c r="AE176" i="8"/>
  <c r="O176" i="8"/>
  <c r="K176" i="8"/>
  <c r="C176" i="8"/>
  <c r="AH175" i="8"/>
  <c r="AG175" i="8"/>
  <c r="AF175" i="8"/>
  <c r="AE175" i="8"/>
  <c r="O175" i="8"/>
  <c r="K175" i="8"/>
  <c r="C175" i="8"/>
  <c r="AH174" i="8"/>
  <c r="AG174" i="8"/>
  <c r="AF174" i="8"/>
  <c r="AE174" i="8"/>
  <c r="O174" i="8"/>
  <c r="K174" i="8"/>
  <c r="C174" i="8"/>
  <c r="AH173" i="8"/>
  <c r="AG173" i="8"/>
  <c r="AF173" i="8"/>
  <c r="AE173" i="8"/>
  <c r="O173" i="8"/>
  <c r="K173" i="8"/>
  <c r="C173" i="8"/>
  <c r="AH172" i="8"/>
  <c r="AG172" i="8"/>
  <c r="AF172" i="8"/>
  <c r="AE172" i="8"/>
  <c r="O172" i="8"/>
  <c r="K172" i="8"/>
  <c r="C172" i="8"/>
  <c r="AH171" i="8"/>
  <c r="AG171" i="8"/>
  <c r="AF171" i="8"/>
  <c r="AE171" i="8"/>
  <c r="O171" i="8"/>
  <c r="K171" i="8"/>
  <c r="C171" i="8"/>
  <c r="AH170" i="8"/>
  <c r="AG170" i="8"/>
  <c r="AF170" i="8"/>
  <c r="AE170" i="8"/>
  <c r="O170" i="8"/>
  <c r="K170" i="8"/>
  <c r="C170" i="8"/>
  <c r="AH169" i="8"/>
  <c r="AG169" i="8"/>
  <c r="AF169" i="8"/>
  <c r="AE169" i="8"/>
  <c r="O169" i="8"/>
  <c r="K169" i="8"/>
  <c r="C169" i="8"/>
  <c r="AH168" i="8"/>
  <c r="AG168" i="8"/>
  <c r="AF168" i="8"/>
  <c r="AE168" i="8"/>
  <c r="O168" i="8"/>
  <c r="K168" i="8"/>
  <c r="C168" i="8"/>
  <c r="AH167" i="8"/>
  <c r="AG167" i="8"/>
  <c r="AF167" i="8"/>
  <c r="AE167" i="8"/>
  <c r="O167" i="8"/>
  <c r="K167" i="8"/>
  <c r="C167" i="8"/>
  <c r="AH166" i="8"/>
  <c r="AG166" i="8"/>
  <c r="AF166" i="8"/>
  <c r="AE166" i="8"/>
  <c r="O166" i="8"/>
  <c r="K166" i="8"/>
  <c r="C166" i="8"/>
  <c r="AH165" i="8"/>
  <c r="AG165" i="8"/>
  <c r="AF165" i="8"/>
  <c r="AE165" i="8"/>
  <c r="O165" i="8"/>
  <c r="K165" i="8"/>
  <c r="C165" i="8"/>
  <c r="AH164" i="8"/>
  <c r="AG164" i="8"/>
  <c r="AF164" i="8"/>
  <c r="AE164" i="8"/>
  <c r="O164" i="8"/>
  <c r="K164" i="8"/>
  <c r="C164" i="8"/>
  <c r="AH163" i="8"/>
  <c r="AG163" i="8"/>
  <c r="AF163" i="8"/>
  <c r="AE163" i="8"/>
  <c r="O163" i="8"/>
  <c r="K163" i="8"/>
  <c r="C163" i="8"/>
  <c r="AH162" i="8"/>
  <c r="AG162" i="8"/>
  <c r="AF162" i="8"/>
  <c r="AE162" i="8"/>
  <c r="O162" i="8"/>
  <c r="K162" i="8"/>
  <c r="C162" i="8"/>
  <c r="AH161" i="8"/>
  <c r="AG161" i="8"/>
  <c r="AF161" i="8"/>
  <c r="AE161" i="8"/>
  <c r="O161" i="8"/>
  <c r="K161" i="8"/>
  <c r="C161" i="8"/>
  <c r="AH160" i="8"/>
  <c r="AG160" i="8"/>
  <c r="AF160" i="8"/>
  <c r="AE160" i="8"/>
  <c r="O160" i="8"/>
  <c r="K160" i="8"/>
  <c r="C160" i="8"/>
  <c r="AH159" i="8"/>
  <c r="AG159" i="8"/>
  <c r="AF159" i="8"/>
  <c r="AE159" i="8"/>
  <c r="O159" i="8"/>
  <c r="K159" i="8"/>
  <c r="C159" i="8"/>
  <c r="AH158" i="8"/>
  <c r="AG158" i="8"/>
  <c r="AF158" i="8"/>
  <c r="AE158" i="8"/>
  <c r="O158" i="8"/>
  <c r="K158" i="8"/>
  <c r="C158" i="8"/>
  <c r="AH157" i="8"/>
  <c r="AG157" i="8"/>
  <c r="AF157" i="8"/>
  <c r="AE157" i="8"/>
  <c r="O157" i="8"/>
  <c r="K157" i="8"/>
  <c r="C157" i="8"/>
  <c r="AH156" i="8"/>
  <c r="AG156" i="8"/>
  <c r="AF156" i="8"/>
  <c r="AE156" i="8"/>
  <c r="O156" i="8"/>
  <c r="K156" i="8"/>
  <c r="C156" i="8"/>
  <c r="AH155" i="8"/>
  <c r="AG155" i="8"/>
  <c r="AF155" i="8"/>
  <c r="AE155" i="8"/>
  <c r="O155" i="8"/>
  <c r="K155" i="8"/>
  <c r="C155" i="8"/>
  <c r="AH154" i="8"/>
  <c r="AG154" i="8"/>
  <c r="AF154" i="8"/>
  <c r="AE154" i="8"/>
  <c r="O154" i="8"/>
  <c r="K154" i="8"/>
  <c r="C154" i="8"/>
  <c r="AH153" i="8"/>
  <c r="AG153" i="8"/>
  <c r="AF153" i="8"/>
  <c r="AE153" i="8"/>
  <c r="O153" i="8"/>
  <c r="K153" i="8"/>
  <c r="C153" i="8"/>
  <c r="AH152" i="8"/>
  <c r="AG152" i="8"/>
  <c r="AF152" i="8"/>
  <c r="AE152" i="8"/>
  <c r="O152" i="8"/>
  <c r="K152" i="8"/>
  <c r="C152" i="8"/>
  <c r="AH151" i="8"/>
  <c r="AG151" i="8"/>
  <c r="AF151" i="8"/>
  <c r="AE151" i="8"/>
  <c r="O151" i="8"/>
  <c r="K151" i="8"/>
  <c r="C151" i="8"/>
  <c r="AH150" i="8"/>
  <c r="AG150" i="8"/>
  <c r="AF150" i="8"/>
  <c r="AE150" i="8"/>
  <c r="O150" i="8"/>
  <c r="K150" i="8"/>
  <c r="C150" i="8"/>
  <c r="AH149" i="8"/>
  <c r="AG149" i="8"/>
  <c r="AF149" i="8"/>
  <c r="AE149" i="8"/>
  <c r="O149" i="8"/>
  <c r="K149" i="8"/>
  <c r="C149" i="8"/>
  <c r="AH148" i="8"/>
  <c r="AG148" i="8"/>
  <c r="AF148" i="8"/>
  <c r="AE148" i="8"/>
  <c r="O148" i="8"/>
  <c r="K148" i="8"/>
  <c r="C148" i="8"/>
  <c r="AH147" i="8"/>
  <c r="AG147" i="8"/>
  <c r="AF147" i="8"/>
  <c r="AE147" i="8"/>
  <c r="O147" i="8"/>
  <c r="K147" i="8"/>
  <c r="C147" i="8"/>
  <c r="AH146" i="8"/>
  <c r="AG146" i="8"/>
  <c r="AF146" i="8"/>
  <c r="AE146" i="8"/>
  <c r="O146" i="8"/>
  <c r="C146" i="8"/>
  <c r="AH145" i="8"/>
  <c r="AG145" i="8"/>
  <c r="AF145" i="8"/>
  <c r="AE145" i="8"/>
  <c r="O145" i="8"/>
  <c r="K145" i="8"/>
  <c r="C145" i="8"/>
  <c r="AH144" i="8"/>
  <c r="AG144" i="8"/>
  <c r="AF144" i="8"/>
  <c r="AE144" i="8"/>
  <c r="O144" i="8"/>
  <c r="C144" i="8"/>
  <c r="AH143" i="8"/>
  <c r="AG143" i="8"/>
  <c r="AF143" i="8"/>
  <c r="AE143" i="8"/>
  <c r="O143" i="8"/>
  <c r="K143" i="8"/>
  <c r="C143" i="8"/>
  <c r="AH142" i="8"/>
  <c r="AG142" i="8"/>
  <c r="AF142" i="8"/>
  <c r="AE142" i="8"/>
  <c r="O142" i="8"/>
  <c r="K142" i="8"/>
  <c r="C142" i="8"/>
  <c r="AH141" i="8"/>
  <c r="AG141" i="8"/>
  <c r="AF141" i="8"/>
  <c r="AE141" i="8"/>
  <c r="O141" i="8"/>
  <c r="C141" i="8"/>
  <c r="AH140" i="8"/>
  <c r="AG140" i="8"/>
  <c r="AF140" i="8"/>
  <c r="AE140" i="8"/>
  <c r="O140" i="8"/>
  <c r="K140" i="8"/>
  <c r="C140" i="8"/>
  <c r="AH139" i="8"/>
  <c r="AG139" i="8"/>
  <c r="AF139" i="8"/>
  <c r="AE139" i="8"/>
  <c r="O139" i="8"/>
  <c r="K139" i="8"/>
  <c r="C139" i="8"/>
  <c r="AH138" i="8"/>
  <c r="AG138" i="8"/>
  <c r="AF138" i="8"/>
  <c r="AE138" i="8"/>
  <c r="O138" i="8"/>
  <c r="K138" i="8"/>
  <c r="C138" i="8"/>
  <c r="AH137" i="8"/>
  <c r="AG137" i="8"/>
  <c r="AF137" i="8"/>
  <c r="AE137" i="8"/>
  <c r="O137" i="8"/>
  <c r="K137" i="8"/>
  <c r="C137" i="8"/>
  <c r="AH136" i="8"/>
  <c r="AG136" i="8"/>
  <c r="AF136" i="8"/>
  <c r="AE136" i="8"/>
  <c r="O136" i="8"/>
  <c r="K136" i="8"/>
  <c r="C136" i="8"/>
  <c r="AH135" i="8"/>
  <c r="AG135" i="8"/>
  <c r="AF135" i="8"/>
  <c r="AE135" i="8"/>
  <c r="O135" i="8"/>
  <c r="K135" i="8"/>
  <c r="C135" i="8"/>
  <c r="AH134" i="8"/>
  <c r="AG134" i="8"/>
  <c r="AF134" i="8"/>
  <c r="AE134" i="8"/>
  <c r="O134" i="8"/>
  <c r="K134" i="8"/>
  <c r="C134" i="8"/>
  <c r="AH133" i="8"/>
  <c r="AG133" i="8"/>
  <c r="AF133" i="8"/>
  <c r="AE133" i="8"/>
  <c r="O133" i="8"/>
  <c r="K133" i="8"/>
  <c r="C133" i="8"/>
  <c r="AH132" i="8"/>
  <c r="AG132" i="8"/>
  <c r="AF132" i="8"/>
  <c r="AE132" i="8"/>
  <c r="O132" i="8"/>
  <c r="C132" i="8"/>
  <c r="AH131" i="8"/>
  <c r="AG131" i="8"/>
  <c r="AF131" i="8"/>
  <c r="AE131" i="8"/>
  <c r="O131" i="8"/>
  <c r="K131" i="8"/>
  <c r="C131" i="8"/>
  <c r="O130" i="8"/>
  <c r="K130" i="8"/>
  <c r="C130" i="8"/>
  <c r="AH129" i="8"/>
  <c r="AG129" i="8"/>
  <c r="AF129" i="8"/>
  <c r="AE129" i="8"/>
  <c r="O129" i="8"/>
  <c r="K129" i="8"/>
  <c r="C129" i="8"/>
  <c r="AH128" i="8"/>
  <c r="AG128" i="8"/>
  <c r="AF128" i="8"/>
  <c r="AE128" i="8"/>
  <c r="O128" i="8"/>
  <c r="K128" i="8"/>
  <c r="C128" i="8"/>
  <c r="AH127" i="8"/>
  <c r="AG127" i="8"/>
  <c r="AF127" i="8"/>
  <c r="AE127" i="8"/>
  <c r="O127" i="8"/>
  <c r="K127" i="8"/>
  <c r="C127" i="8"/>
  <c r="AH126" i="8"/>
  <c r="AG126" i="8"/>
  <c r="AF126" i="8"/>
  <c r="AE126" i="8"/>
  <c r="O126" i="8"/>
  <c r="K126" i="8"/>
  <c r="C126" i="8"/>
  <c r="AH125" i="8"/>
  <c r="AG125" i="8"/>
  <c r="AF125" i="8"/>
  <c r="AE125" i="8"/>
  <c r="O125" i="8"/>
  <c r="K125" i="8"/>
  <c r="C125" i="8"/>
  <c r="AH124" i="8"/>
  <c r="AG124" i="8"/>
  <c r="AF124" i="8"/>
  <c r="AE124" i="8"/>
  <c r="O124" i="8"/>
  <c r="K124" i="8"/>
  <c r="C124" i="8"/>
  <c r="AH123" i="8"/>
  <c r="AG123" i="8"/>
  <c r="AF123" i="8"/>
  <c r="AE123" i="8"/>
  <c r="O123" i="8"/>
  <c r="K123" i="8"/>
  <c r="C123" i="8"/>
  <c r="AH122" i="8"/>
  <c r="AG122" i="8"/>
  <c r="AF122" i="8"/>
  <c r="AE122" i="8"/>
  <c r="O122" i="8"/>
  <c r="K122" i="8"/>
  <c r="C122" i="8"/>
  <c r="AH121" i="8"/>
  <c r="AG121" i="8"/>
  <c r="AF121" i="8"/>
  <c r="AE121" i="8"/>
  <c r="O121" i="8"/>
  <c r="C121" i="8"/>
  <c r="AH120" i="8"/>
  <c r="AG120" i="8"/>
  <c r="AF120" i="8"/>
  <c r="AE120" i="8"/>
  <c r="O120" i="8"/>
  <c r="C120" i="8"/>
  <c r="AH119" i="8"/>
  <c r="AG119" i="8"/>
  <c r="AF119" i="8"/>
  <c r="AE119" i="8"/>
  <c r="O119" i="8"/>
  <c r="K119" i="8"/>
  <c r="C119" i="8"/>
  <c r="AH118" i="8"/>
  <c r="AG118" i="8"/>
  <c r="AF118" i="8"/>
  <c r="AE118" i="8"/>
  <c r="O118" i="8"/>
  <c r="K118" i="8"/>
  <c r="C118" i="8"/>
  <c r="AH117" i="8"/>
  <c r="AG117" i="8"/>
  <c r="AF117" i="8"/>
  <c r="AE117" i="8"/>
  <c r="O117" i="8"/>
  <c r="K117" i="8"/>
  <c r="C117" i="8"/>
  <c r="AH116" i="8"/>
  <c r="AG116" i="8"/>
  <c r="AF116" i="8"/>
  <c r="AE116" i="8"/>
  <c r="O116" i="8"/>
  <c r="K116" i="8"/>
  <c r="C116" i="8"/>
  <c r="AH115" i="8"/>
  <c r="AG115" i="8"/>
  <c r="AF115" i="8"/>
  <c r="AE115" i="8"/>
  <c r="O115" i="8"/>
  <c r="K115" i="8"/>
  <c r="C115" i="8"/>
  <c r="AH114" i="8"/>
  <c r="AG114" i="8"/>
  <c r="AF114" i="8"/>
  <c r="AE114" i="8"/>
  <c r="O114" i="8"/>
  <c r="K114" i="8"/>
  <c r="C114" i="8"/>
  <c r="AH113" i="8"/>
  <c r="AG113" i="8"/>
  <c r="AF113" i="8"/>
  <c r="AE113" i="8"/>
  <c r="O113" i="8"/>
  <c r="K113" i="8"/>
  <c r="C113" i="8"/>
  <c r="AH112" i="8"/>
  <c r="AG112" i="8"/>
  <c r="AF112" i="8"/>
  <c r="AE112" i="8"/>
  <c r="O112" i="8"/>
  <c r="C112" i="8"/>
  <c r="AH111" i="8"/>
  <c r="AG111" i="8"/>
  <c r="AF111" i="8"/>
  <c r="AE111" i="8"/>
  <c r="O111" i="8"/>
  <c r="K111" i="8"/>
  <c r="C111" i="8"/>
  <c r="AH110" i="8"/>
  <c r="AG110" i="8"/>
  <c r="AF110" i="8"/>
  <c r="AE110" i="8"/>
  <c r="O110" i="8"/>
  <c r="K110" i="8"/>
  <c r="C110" i="8"/>
  <c r="AH109" i="8"/>
  <c r="AG109" i="8"/>
  <c r="AF109" i="8"/>
  <c r="AE109" i="8"/>
  <c r="O109" i="8"/>
  <c r="K109" i="8"/>
  <c r="C109" i="8"/>
  <c r="AH108" i="8"/>
  <c r="AG108" i="8"/>
  <c r="AF108" i="8"/>
  <c r="AE108" i="8"/>
  <c r="O108" i="8"/>
  <c r="C108" i="8"/>
  <c r="AH107" i="8"/>
  <c r="AG107" i="8"/>
  <c r="AF107" i="8"/>
  <c r="AE107" i="8"/>
  <c r="O107" i="8"/>
  <c r="C107" i="8"/>
  <c r="AH106" i="8"/>
  <c r="AG106" i="8"/>
  <c r="AF106" i="8"/>
  <c r="AE106" i="8"/>
  <c r="O106" i="8"/>
  <c r="K106" i="8"/>
  <c r="C106" i="8"/>
  <c r="AH105" i="8"/>
  <c r="AG105" i="8"/>
  <c r="AF105" i="8"/>
  <c r="AE105" i="8"/>
  <c r="O105" i="8"/>
  <c r="K105" i="8"/>
  <c r="C105" i="8"/>
  <c r="AH104" i="8"/>
  <c r="AG104" i="8"/>
  <c r="AF104" i="8"/>
  <c r="AE104" i="8"/>
  <c r="O104" i="8"/>
  <c r="K104" i="8"/>
  <c r="C104" i="8"/>
  <c r="AH103" i="8"/>
  <c r="AG103" i="8"/>
  <c r="AF103" i="8"/>
  <c r="AE103" i="8"/>
  <c r="O103" i="8"/>
  <c r="K103" i="8"/>
  <c r="C103" i="8"/>
  <c r="AH102" i="8"/>
  <c r="AG102" i="8"/>
  <c r="AF102" i="8"/>
  <c r="AE102" i="8"/>
  <c r="O102" i="8"/>
  <c r="K102" i="8"/>
  <c r="C102" i="8"/>
  <c r="AH101" i="8"/>
  <c r="AG101" i="8"/>
  <c r="AF101" i="8"/>
  <c r="AE101" i="8"/>
  <c r="O101" i="8"/>
  <c r="C101" i="8"/>
  <c r="AH100" i="8"/>
  <c r="AG100" i="8"/>
  <c r="AF100" i="8"/>
  <c r="AE100" i="8"/>
  <c r="O100" i="8"/>
  <c r="K100" i="8"/>
  <c r="C100" i="8"/>
  <c r="AH99" i="8"/>
  <c r="AG99" i="8"/>
  <c r="AF99" i="8"/>
  <c r="AE99" i="8"/>
  <c r="O99" i="8"/>
  <c r="C99" i="8"/>
  <c r="AH98" i="8"/>
  <c r="AG98" i="8"/>
  <c r="AF98" i="8"/>
  <c r="AE98" i="8"/>
  <c r="O98" i="8"/>
  <c r="C98" i="8"/>
  <c r="AH97" i="8"/>
  <c r="AG97" i="8"/>
  <c r="AF97" i="8"/>
  <c r="AE97" i="8"/>
  <c r="O97" i="8"/>
  <c r="K97" i="8"/>
  <c r="C97" i="8"/>
  <c r="AH96" i="8"/>
  <c r="AG96" i="8"/>
  <c r="AF96" i="8"/>
  <c r="AE96" i="8"/>
  <c r="O96" i="8"/>
  <c r="K96" i="8"/>
  <c r="C96" i="8"/>
  <c r="AH95" i="8"/>
  <c r="AG95" i="8"/>
  <c r="AF95" i="8"/>
  <c r="AE95" i="8"/>
  <c r="O95" i="8"/>
  <c r="K95" i="8"/>
  <c r="C95" i="8"/>
  <c r="AH94" i="8"/>
  <c r="AG94" i="8"/>
  <c r="AF94" i="8"/>
  <c r="AE94" i="8"/>
  <c r="O94" i="8"/>
  <c r="K94" i="8"/>
  <c r="C94" i="8"/>
  <c r="AH93" i="8"/>
  <c r="AG93" i="8"/>
  <c r="AF93" i="8"/>
  <c r="AE93" i="8"/>
  <c r="O93" i="8"/>
  <c r="K93" i="8"/>
  <c r="C93" i="8"/>
  <c r="AH92" i="8"/>
  <c r="AG92" i="8"/>
  <c r="AF92" i="8"/>
  <c r="AE92" i="8"/>
  <c r="O92" i="8"/>
  <c r="K92" i="8"/>
  <c r="C92" i="8"/>
  <c r="AH91" i="8"/>
  <c r="AG91" i="8"/>
  <c r="AF91" i="8"/>
  <c r="AE91" i="8"/>
  <c r="O91" i="8"/>
  <c r="K91" i="8"/>
  <c r="C91" i="8"/>
  <c r="AH90" i="8"/>
  <c r="AG90" i="8"/>
  <c r="AF90" i="8"/>
  <c r="AE90" i="8"/>
  <c r="O90" i="8"/>
  <c r="C90" i="8"/>
  <c r="AH89" i="8"/>
  <c r="AG89" i="8"/>
  <c r="AF89" i="8"/>
  <c r="AE89" i="8"/>
  <c r="O89" i="8"/>
  <c r="C89" i="8"/>
  <c r="AH88" i="8"/>
  <c r="AG88" i="8"/>
  <c r="AF88" i="8"/>
  <c r="AE88" i="8"/>
  <c r="O88" i="8"/>
  <c r="K88" i="8"/>
  <c r="C88" i="8"/>
  <c r="AH87" i="8"/>
  <c r="AG87" i="8"/>
  <c r="AF87" i="8"/>
  <c r="AE87" i="8"/>
  <c r="O87" i="8"/>
  <c r="K87" i="8"/>
  <c r="C87" i="8"/>
  <c r="AH86" i="8"/>
  <c r="AG86" i="8"/>
  <c r="AF86" i="8"/>
  <c r="AE86" i="8"/>
  <c r="O86" i="8"/>
  <c r="K86" i="8"/>
  <c r="C86" i="8"/>
  <c r="AH85" i="8"/>
  <c r="AG85" i="8"/>
  <c r="AF85" i="8"/>
  <c r="AE85" i="8"/>
  <c r="O85" i="8"/>
  <c r="C85" i="8"/>
  <c r="AH84" i="8"/>
  <c r="AG84" i="8"/>
  <c r="AF84" i="8"/>
  <c r="AE84" i="8"/>
  <c r="O84" i="8"/>
  <c r="K84" i="8"/>
  <c r="C84" i="8"/>
  <c r="AH83" i="8"/>
  <c r="AG83" i="8"/>
  <c r="AF83" i="8"/>
  <c r="AE83" i="8"/>
  <c r="O83" i="8"/>
  <c r="K83" i="8"/>
  <c r="C83" i="8"/>
  <c r="AH82" i="8"/>
  <c r="AG82" i="8"/>
  <c r="AF82" i="8"/>
  <c r="AE82" i="8"/>
  <c r="O82" i="8"/>
  <c r="K82" i="8"/>
  <c r="C82" i="8"/>
  <c r="AH81" i="8"/>
  <c r="AG81" i="8"/>
  <c r="AF81" i="8"/>
  <c r="AE81" i="8"/>
  <c r="O81" i="8"/>
  <c r="K81" i="8"/>
  <c r="C81" i="8"/>
  <c r="AH80" i="8"/>
  <c r="AG80" i="8"/>
  <c r="AF80" i="8"/>
  <c r="AE80" i="8"/>
  <c r="O80" i="8"/>
  <c r="K80" i="8"/>
  <c r="C80" i="8"/>
  <c r="AH79" i="8"/>
  <c r="AG79" i="8"/>
  <c r="AF79" i="8"/>
  <c r="AE79" i="8"/>
  <c r="O79" i="8"/>
  <c r="K79" i="8"/>
  <c r="C79" i="8"/>
  <c r="AH78" i="8"/>
  <c r="AG78" i="8"/>
  <c r="AF78" i="8"/>
  <c r="AE78" i="8"/>
  <c r="O78" i="8"/>
  <c r="K78" i="8"/>
  <c r="C78" i="8"/>
  <c r="AH77" i="8"/>
  <c r="AG77" i="8"/>
  <c r="AF77" i="8"/>
  <c r="AE77" i="8"/>
  <c r="O77" i="8"/>
  <c r="K77" i="8"/>
  <c r="C77" i="8"/>
  <c r="AH76" i="8"/>
  <c r="AG76" i="8"/>
  <c r="AF76" i="8"/>
  <c r="AE76" i="8"/>
  <c r="O76" i="8"/>
  <c r="K76" i="8"/>
  <c r="C76" i="8"/>
  <c r="AH75" i="8"/>
  <c r="AG75" i="8"/>
  <c r="AF75" i="8"/>
  <c r="AE75" i="8"/>
  <c r="O75" i="8"/>
  <c r="C75" i="8"/>
  <c r="AH74" i="8"/>
  <c r="AG74" i="8"/>
  <c r="AF74" i="8"/>
  <c r="AE74" i="8"/>
  <c r="O74" i="8"/>
  <c r="K74" i="8"/>
  <c r="C74" i="8"/>
  <c r="AH73" i="8"/>
  <c r="AG73" i="8"/>
  <c r="AF73" i="8"/>
  <c r="AE73" i="8"/>
  <c r="O73" i="8"/>
  <c r="K73" i="8"/>
  <c r="C73" i="8"/>
  <c r="AH72" i="8"/>
  <c r="AG72" i="8"/>
  <c r="AF72" i="8"/>
  <c r="AE72" i="8"/>
  <c r="O72" i="8"/>
  <c r="C72" i="8"/>
  <c r="AH71" i="8"/>
  <c r="AG71" i="8"/>
  <c r="AF71" i="8"/>
  <c r="AE71" i="8"/>
  <c r="O71" i="8"/>
  <c r="K71" i="8"/>
  <c r="C71" i="8"/>
  <c r="AH70" i="8"/>
  <c r="AG70" i="8"/>
  <c r="AF70" i="8"/>
  <c r="AE70" i="8"/>
  <c r="O70" i="8"/>
  <c r="K70" i="8"/>
  <c r="C70" i="8"/>
  <c r="AH69" i="8"/>
  <c r="AG69" i="8"/>
  <c r="AF69" i="8"/>
  <c r="AE69" i="8"/>
  <c r="O69" i="8"/>
  <c r="K69" i="8"/>
  <c r="C69" i="8"/>
  <c r="AH68" i="8"/>
  <c r="AG68" i="8"/>
  <c r="AF68" i="8"/>
  <c r="AE68" i="8"/>
  <c r="O68" i="8"/>
  <c r="K68" i="8"/>
  <c r="C68" i="8"/>
  <c r="AH67" i="8"/>
  <c r="AG67" i="8"/>
  <c r="AF67" i="8"/>
  <c r="AE67" i="8"/>
  <c r="O67" i="8"/>
  <c r="K67" i="8"/>
  <c r="C67" i="8"/>
  <c r="AH66" i="8"/>
  <c r="AG66" i="8"/>
  <c r="AF66" i="8"/>
  <c r="AE66" i="8"/>
  <c r="O66" i="8"/>
  <c r="K66" i="8"/>
  <c r="C66" i="8"/>
  <c r="AH65" i="8"/>
  <c r="AG65" i="8"/>
  <c r="AF65" i="8"/>
  <c r="AE65" i="8"/>
  <c r="O65" i="8"/>
  <c r="K65" i="8"/>
  <c r="C65" i="8"/>
  <c r="AH64" i="8"/>
  <c r="AG64" i="8"/>
  <c r="AF64" i="8"/>
  <c r="AE64" i="8"/>
  <c r="O64" i="8"/>
  <c r="K64" i="8"/>
  <c r="C64" i="8"/>
  <c r="AH63" i="8"/>
  <c r="AG63" i="8"/>
  <c r="AF63" i="8"/>
  <c r="AE63" i="8"/>
  <c r="O63" i="8"/>
  <c r="K63" i="8"/>
  <c r="C63" i="8"/>
  <c r="AH62" i="8"/>
  <c r="AG62" i="8"/>
  <c r="AF62" i="8"/>
  <c r="AE62" i="8"/>
  <c r="O62" i="8"/>
  <c r="C62" i="8"/>
  <c r="AH61" i="8"/>
  <c r="AG61" i="8"/>
  <c r="AF61" i="8"/>
  <c r="AE61" i="8"/>
  <c r="O61" i="8"/>
  <c r="K61" i="8"/>
  <c r="C61" i="8"/>
  <c r="AH60" i="8"/>
  <c r="AG60" i="8"/>
  <c r="AF60" i="8"/>
  <c r="AE60" i="8"/>
  <c r="O60" i="8"/>
  <c r="K60" i="8"/>
  <c r="C60" i="8"/>
  <c r="AH59" i="8"/>
  <c r="AG59" i="8"/>
  <c r="AF59" i="8"/>
  <c r="AE59" i="8"/>
  <c r="O59" i="8"/>
  <c r="K59" i="8"/>
  <c r="C59" i="8"/>
  <c r="AH58" i="8"/>
  <c r="AG58" i="8"/>
  <c r="AF58" i="8"/>
  <c r="AE58" i="8"/>
  <c r="O58" i="8"/>
  <c r="K58" i="8"/>
  <c r="C58" i="8"/>
  <c r="AH57" i="8"/>
  <c r="AG57" i="8"/>
  <c r="AF57" i="8"/>
  <c r="AE57" i="8"/>
  <c r="O57" i="8"/>
  <c r="K57" i="8"/>
  <c r="C57" i="8"/>
  <c r="AH56" i="8"/>
  <c r="AG56" i="8"/>
  <c r="AF56" i="8"/>
  <c r="AE56" i="8"/>
  <c r="O56" i="8"/>
  <c r="K56" i="8"/>
  <c r="C56" i="8"/>
  <c r="AH55" i="8"/>
  <c r="AG55" i="8"/>
  <c r="AF55" i="8"/>
  <c r="AE55" i="8"/>
  <c r="O55" i="8"/>
  <c r="K55" i="8"/>
  <c r="C55" i="8"/>
  <c r="AH54" i="8"/>
  <c r="AG54" i="8"/>
  <c r="AF54" i="8"/>
  <c r="AE54" i="8"/>
  <c r="O54" i="8"/>
  <c r="K54" i="8"/>
  <c r="C54" i="8"/>
  <c r="AH53" i="8"/>
  <c r="AG53" i="8"/>
  <c r="AF53" i="8"/>
  <c r="AE53" i="8"/>
  <c r="O53" i="8"/>
  <c r="K53" i="8"/>
  <c r="C53" i="8"/>
  <c r="AH52" i="8"/>
  <c r="AG52" i="8"/>
  <c r="AF52" i="8"/>
  <c r="AE52" i="8"/>
  <c r="O52" i="8"/>
  <c r="K52" i="8"/>
  <c r="C52" i="8"/>
  <c r="AH51" i="8"/>
  <c r="AG51" i="8"/>
  <c r="AF51" i="8"/>
  <c r="AE51" i="8"/>
  <c r="O51" i="8"/>
  <c r="K51" i="8"/>
  <c r="C51" i="8"/>
  <c r="AH50" i="8"/>
  <c r="AG50" i="8"/>
  <c r="AF50" i="8"/>
  <c r="AE50" i="8"/>
  <c r="O50" i="8"/>
  <c r="K50" i="8"/>
  <c r="C50" i="8"/>
  <c r="AH49" i="8"/>
  <c r="AG49" i="8"/>
  <c r="AF49" i="8"/>
  <c r="AE49" i="8"/>
  <c r="O49" i="8"/>
  <c r="K49" i="8"/>
  <c r="C49" i="8"/>
  <c r="AH48" i="8"/>
  <c r="AG48" i="8"/>
  <c r="AF48" i="8"/>
  <c r="AE48" i="8"/>
  <c r="O48" i="8"/>
  <c r="K48" i="8"/>
  <c r="C48" i="8"/>
  <c r="AH47" i="8"/>
  <c r="AG47" i="8"/>
  <c r="AF47" i="8"/>
  <c r="AE47" i="8"/>
  <c r="O47" i="8"/>
  <c r="K47" i="8"/>
  <c r="C47" i="8"/>
  <c r="AH46" i="8"/>
  <c r="AG46" i="8"/>
  <c r="AF46" i="8"/>
  <c r="AE46" i="8"/>
  <c r="O46" i="8"/>
  <c r="K46" i="8"/>
  <c r="C46" i="8"/>
  <c r="AH45" i="8"/>
  <c r="AG45" i="8"/>
  <c r="AF45" i="8"/>
  <c r="AE45" i="8"/>
  <c r="O45" i="8"/>
  <c r="K45" i="8"/>
  <c r="C45" i="8"/>
  <c r="AH44" i="8"/>
  <c r="AG44" i="8"/>
  <c r="AF44" i="8"/>
  <c r="AE44" i="8"/>
  <c r="O44" i="8"/>
  <c r="C44" i="8"/>
  <c r="AH43" i="8"/>
  <c r="AG43" i="8"/>
  <c r="AF43" i="8"/>
  <c r="AE43" i="8"/>
  <c r="O43" i="8"/>
  <c r="K43" i="8"/>
  <c r="C43" i="8"/>
  <c r="AH42" i="8"/>
  <c r="AG42" i="8"/>
  <c r="AF42" i="8"/>
  <c r="AE42" i="8"/>
  <c r="O42" i="8"/>
  <c r="K42" i="8"/>
  <c r="C42" i="8"/>
  <c r="AH41" i="8"/>
  <c r="AG41" i="8"/>
  <c r="AF41" i="8"/>
  <c r="AE41" i="8"/>
  <c r="O41" i="8"/>
  <c r="K41" i="8"/>
  <c r="C41" i="8"/>
  <c r="AH40" i="8"/>
  <c r="AG40" i="8"/>
  <c r="AF40" i="8"/>
  <c r="AE40" i="8"/>
  <c r="O40" i="8"/>
  <c r="K40" i="8"/>
  <c r="C40" i="8"/>
  <c r="AH39" i="8"/>
  <c r="AG39" i="8"/>
  <c r="AF39" i="8"/>
  <c r="AE39" i="8"/>
  <c r="O39" i="8"/>
  <c r="K39" i="8"/>
  <c r="C39" i="8"/>
  <c r="AH38" i="8"/>
  <c r="AG38" i="8"/>
  <c r="AF38" i="8"/>
  <c r="AE38" i="8"/>
  <c r="O38" i="8"/>
  <c r="C38" i="8"/>
  <c r="AH37" i="8"/>
  <c r="AG37" i="8"/>
  <c r="AF37" i="8"/>
  <c r="AE37" i="8"/>
  <c r="O37" i="8"/>
  <c r="K37" i="8"/>
  <c r="C37" i="8"/>
  <c r="AH36" i="8"/>
  <c r="AG36" i="8"/>
  <c r="AF36" i="8"/>
  <c r="AE36" i="8"/>
  <c r="O36" i="8"/>
  <c r="K36" i="8"/>
  <c r="C36" i="8"/>
  <c r="AH35" i="8"/>
  <c r="AG35" i="8"/>
  <c r="AF35" i="8"/>
  <c r="AE35" i="8"/>
  <c r="O35" i="8"/>
  <c r="K35" i="8"/>
  <c r="C35" i="8"/>
  <c r="AH34" i="8"/>
  <c r="AG34" i="8"/>
  <c r="AF34" i="8"/>
  <c r="AE34" i="8"/>
  <c r="O34" i="8"/>
  <c r="C34" i="8"/>
  <c r="AH33" i="8"/>
  <c r="AG33" i="8"/>
  <c r="AF33" i="8"/>
  <c r="AE33" i="8"/>
  <c r="O33" i="8"/>
  <c r="K33" i="8"/>
  <c r="C33" i="8"/>
  <c r="AH32" i="8"/>
  <c r="AG32" i="8"/>
  <c r="AF32" i="8"/>
  <c r="AE32" i="8"/>
  <c r="O32" i="8"/>
  <c r="K32" i="8"/>
  <c r="C32" i="8"/>
  <c r="AH31" i="8"/>
  <c r="AG31" i="8"/>
  <c r="AF31" i="8"/>
  <c r="AE31" i="8"/>
  <c r="O31" i="8"/>
  <c r="K31" i="8"/>
  <c r="C31" i="8"/>
  <c r="AH30" i="8"/>
  <c r="AG30" i="8"/>
  <c r="AF30" i="8"/>
  <c r="AE30" i="8"/>
  <c r="O30" i="8"/>
  <c r="K30" i="8"/>
  <c r="C30" i="8"/>
  <c r="AH29" i="8"/>
  <c r="AG29" i="8"/>
  <c r="AF29" i="8"/>
  <c r="AE29" i="8"/>
  <c r="O29" i="8"/>
  <c r="K29" i="8"/>
  <c r="C29" i="8"/>
  <c r="AH28" i="8"/>
  <c r="AG28" i="8"/>
  <c r="AF28" i="8"/>
  <c r="AE28" i="8"/>
  <c r="O28" i="8"/>
  <c r="K28" i="8"/>
  <c r="C28" i="8"/>
  <c r="AH27" i="8"/>
  <c r="AG27" i="8"/>
  <c r="AF27" i="8"/>
  <c r="AE27" i="8"/>
  <c r="O27" i="8"/>
  <c r="K27" i="8"/>
  <c r="C27" i="8"/>
  <c r="AH26" i="8"/>
  <c r="AG26" i="8"/>
  <c r="AF26" i="8"/>
  <c r="AE26" i="8"/>
  <c r="O26" i="8"/>
  <c r="K26" i="8"/>
  <c r="C26" i="8"/>
  <c r="AH25" i="8"/>
  <c r="AG25" i="8"/>
  <c r="AF25" i="8"/>
  <c r="AE25" i="8"/>
  <c r="O25" i="8"/>
  <c r="K25" i="8"/>
  <c r="C25" i="8"/>
  <c r="AH24" i="8"/>
  <c r="AG24" i="8"/>
  <c r="AF24" i="8"/>
  <c r="AE24" i="8"/>
  <c r="O24" i="8"/>
  <c r="K24" i="8"/>
  <c r="C24" i="8"/>
  <c r="AH23" i="8"/>
  <c r="AG23" i="8"/>
  <c r="AF23" i="8"/>
  <c r="AE23" i="8"/>
  <c r="O23" i="8"/>
  <c r="K23" i="8"/>
  <c r="C23" i="8"/>
  <c r="AH22" i="8"/>
  <c r="AG22" i="8"/>
  <c r="AF22" i="8"/>
  <c r="AE22" i="8"/>
  <c r="O22" i="8"/>
  <c r="K22" i="8"/>
  <c r="C22" i="8"/>
  <c r="AH21" i="8"/>
  <c r="AG21" i="8"/>
  <c r="AF21" i="8"/>
  <c r="AE21" i="8"/>
  <c r="O21" i="8"/>
  <c r="K21" i="8"/>
  <c r="I21" i="8"/>
  <c r="H21" i="8"/>
  <c r="C21" i="8"/>
  <c r="AH20" i="8"/>
  <c r="AG20" i="8"/>
  <c r="AF20" i="8"/>
  <c r="AE20" i="8"/>
  <c r="O20" i="8"/>
  <c r="K20" i="8"/>
  <c r="C20" i="8"/>
  <c r="AH19" i="8"/>
  <c r="AG19" i="8"/>
  <c r="AF19" i="8"/>
  <c r="AE19" i="8"/>
  <c r="O19" i="8"/>
  <c r="K19" i="8"/>
  <c r="C19" i="8"/>
  <c r="AH18" i="8"/>
  <c r="AG18" i="8"/>
  <c r="AF18" i="8"/>
  <c r="AE18" i="8"/>
  <c r="O18" i="8"/>
  <c r="K18" i="8"/>
  <c r="C18" i="8"/>
  <c r="AH17" i="8"/>
  <c r="AG17" i="8"/>
  <c r="AF17" i="8"/>
  <c r="AE17" i="8"/>
  <c r="O17" i="8"/>
  <c r="C17" i="8"/>
  <c r="AH16" i="8"/>
  <c r="AG16" i="8"/>
  <c r="AF16" i="8"/>
  <c r="AE16" i="8"/>
  <c r="O16" i="8"/>
  <c r="C16" i="8"/>
  <c r="AH15" i="8"/>
  <c r="AG15" i="8"/>
  <c r="AF15" i="8"/>
  <c r="AE15" i="8"/>
  <c r="O15" i="8"/>
  <c r="K15" i="8"/>
  <c r="C15" i="8"/>
  <c r="AH14" i="8"/>
  <c r="AG14" i="8"/>
  <c r="AF14" i="8"/>
  <c r="AE14" i="8"/>
  <c r="O14" i="8"/>
  <c r="K14" i="8"/>
  <c r="C14" i="8"/>
  <c r="AH13" i="8"/>
  <c r="AG13" i="8"/>
  <c r="AF13" i="8"/>
  <c r="AE13" i="8"/>
  <c r="O13" i="8"/>
  <c r="K13" i="8"/>
  <c r="C13" i="8"/>
  <c r="AH12" i="8"/>
  <c r="AG12" i="8"/>
  <c r="AF12" i="8"/>
  <c r="AE12" i="8"/>
  <c r="O12" i="8"/>
  <c r="C12" i="8"/>
  <c r="AH11" i="8"/>
  <c r="AG11" i="8"/>
  <c r="AF11" i="8"/>
  <c r="AE11" i="8"/>
  <c r="O11" i="8"/>
  <c r="C11" i="8"/>
  <c r="AH10" i="8"/>
  <c r="AG10" i="8"/>
  <c r="AF10" i="8"/>
  <c r="AE10" i="8"/>
  <c r="O10" i="8"/>
  <c r="K10" i="8"/>
  <c r="C10" i="8"/>
  <c r="AH9" i="8"/>
  <c r="AG9" i="8"/>
  <c r="AF9" i="8"/>
  <c r="AE9" i="8"/>
  <c r="O9" i="8"/>
  <c r="K9" i="8"/>
  <c r="C9" i="8"/>
  <c r="AH8" i="8"/>
  <c r="AG8" i="8"/>
  <c r="AF8" i="8"/>
  <c r="AE8" i="8"/>
  <c r="O8" i="8"/>
  <c r="K8" i="8"/>
  <c r="C8" i="8"/>
  <c r="AH7" i="8"/>
  <c r="AG7" i="8"/>
  <c r="AF7" i="8"/>
  <c r="AE7" i="8"/>
  <c r="O7" i="8"/>
  <c r="K7" i="8"/>
  <c r="C7" i="8"/>
  <c r="AH6" i="8"/>
  <c r="AG6" i="8"/>
  <c r="AF6" i="8"/>
  <c r="AE6" i="8"/>
  <c r="O6" i="8"/>
  <c r="K6" i="8"/>
  <c r="C6" i="8"/>
  <c r="AH5" i="8"/>
  <c r="AG5" i="8"/>
  <c r="AF5" i="8"/>
  <c r="AE5" i="8"/>
  <c r="O5" i="8"/>
  <c r="K5" i="8"/>
  <c r="C5" i="8"/>
  <c r="AH4" i="8"/>
  <c r="AG4" i="8"/>
  <c r="AF4" i="8"/>
  <c r="AE4" i="8"/>
  <c r="O4" i="8"/>
  <c r="K4" i="8"/>
  <c r="C4" i="8"/>
  <c r="AH3" i="8"/>
  <c r="AG3" i="8"/>
  <c r="AF3" i="8"/>
  <c r="AE3" i="8"/>
  <c r="O3" i="8"/>
  <c r="K3" i="8"/>
  <c r="C3" i="8"/>
  <c r="AH2" i="8"/>
  <c r="AG2" i="8"/>
  <c r="AF2" i="8"/>
  <c r="AE2" i="8"/>
  <c r="O2" i="8"/>
  <c r="K2" i="8"/>
  <c r="C2" i="8"/>
  <c r="G19" i="15"/>
  <c r="E19" i="15"/>
  <c r="C19" i="15"/>
  <c r="A19" i="15"/>
  <c r="J13" i="15"/>
  <c r="G13" i="15"/>
  <c r="D13" i="15"/>
  <c r="A13" i="15"/>
  <c r="H6" i="15"/>
  <c r="E6" i="15"/>
  <c r="A6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<sst xmlns="http://schemas.openxmlformats.org/spreadsheetml/2006/main" count="3626" uniqueCount="570">
  <si>
    <t>宇宙藏书阁 · 统计总览</t>
  </si>
  <si>
    <t>书籍总数</t>
  </si>
  <si>
    <t>中文篇数</t>
  </si>
  <si>
    <t>英文篇数</t>
  </si>
  <si>
    <t>未开始</t>
  </si>
  <si>
    <t>下载中</t>
  </si>
  <si>
    <t>完结</t>
  </si>
  <si>
    <t>完结（保密）</t>
  </si>
  <si>
    <t>目标用户：小白用户</t>
  </si>
  <si>
    <t>目标用户：正式学员</t>
  </si>
  <si>
    <t>西方</t>
  </si>
  <si>
    <t>阿拉伯</t>
  </si>
  <si>
    <t>在《作品总表》中粘贴数据：书名-中文、书名-英文、状态、目标用户等。本页自动统计。</t>
  </si>
  <si>
    <t>序号</t>
  </si>
  <si>
    <t>类别标签</t>
  </si>
  <si>
    <t>首篇时间</t>
  </si>
  <si>
    <t>书名</t>
  </si>
  <si>
    <t>阶别</t>
  </si>
  <si>
    <t>管道</t>
  </si>
  <si>
    <t>总章节数</t>
  </si>
  <si>
    <t>下载数</t>
  </si>
  <si>
    <t>翻译版本</t>
  </si>
  <si>
    <t>下载状态</t>
  </si>
  <si>
    <t>发表</t>
  </si>
  <si>
    <t>配音音频</t>
  </si>
  <si>
    <t>配音</t>
  </si>
  <si>
    <t>是否全部发表</t>
  </si>
  <si>
    <t>版权类别</t>
  </si>
  <si>
    <t>存证日期</t>
  </si>
  <si>
    <t>版权登记日期</t>
  </si>
  <si>
    <t>版权状态</t>
  </si>
  <si>
    <t>关键词</t>
  </si>
  <si>
    <t>类别</t>
  </si>
  <si>
    <t>状态</t>
  </si>
  <si>
    <t>旧标签</t>
  </si>
  <si>
    <t>08-灵性成长-灵性基础</t>
  </si>
  <si>
    <t>一个灵魂飞到宇宙中的女人</t>
  </si>
  <si>
    <t>一阶</t>
  </si>
  <si>
    <t>星姐</t>
  </si>
  <si>
    <t>意识与能量</t>
  </si>
  <si>
    <t>省版</t>
  </si>
  <si>
    <t>2025/6/6</t>
  </si>
  <si>
    <t>2025/7/4</t>
  </si>
  <si>
    <t>已发证</t>
  </si>
  <si>
    <t>08-灵性成长</t>
  </si>
  <si>
    <t>07-经典经文</t>
  </si>
  <si>
    <t>经典新解</t>
  </si>
  <si>
    <t>沛生</t>
  </si>
  <si>
    <t>公共</t>
  </si>
  <si>
    <t>01-宇宙知识-宇宙法则</t>
  </si>
  <si>
    <t>能量，意识，空间构造，起源</t>
  </si>
  <si>
    <t>人类意识走向</t>
  </si>
  <si>
    <t>03-佛法知识-经典</t>
  </si>
  <si>
    <t>宇宙之声</t>
  </si>
  <si>
    <t>二阶</t>
  </si>
  <si>
    <t>李静</t>
  </si>
  <si>
    <t>2025/6/4</t>
  </si>
  <si>
    <t>孟昭宇</t>
  </si>
  <si>
    <t>02-宇宙知识-平行空间</t>
  </si>
  <si>
    <t>各次元空间文明</t>
  </si>
  <si>
    <t>生物意识起源之地球篇</t>
  </si>
  <si>
    <t>11-修行修心-修心基础</t>
  </si>
  <si>
    <t>宝生佛的自然课堂</t>
  </si>
  <si>
    <t>王靖</t>
  </si>
  <si>
    <t>03-宇宙知识-外星文明</t>
  </si>
  <si>
    <t>外星世界文明、科技</t>
  </si>
  <si>
    <t>极致大脑</t>
  </si>
  <si>
    <t>2025/6/5</t>
  </si>
  <si>
    <t>外星高科技</t>
  </si>
  <si>
    <t>吴英</t>
  </si>
  <si>
    <t>2025/5/30</t>
  </si>
  <si>
    <t>阶段稿已存证</t>
  </si>
  <si>
    <t>惠敏</t>
  </si>
  <si>
    <t>04-地球文明/地球扬升</t>
  </si>
  <si>
    <t>地球扬升，高维地球，地球文明史</t>
  </si>
  <si>
    <t>减压脑科学</t>
  </si>
  <si>
    <t>07-宇宙知识-宇宙文明</t>
  </si>
  <si>
    <t>12-修行修心-实修指南</t>
  </si>
  <si>
    <t>心法</t>
  </si>
  <si>
    <t>昱嘉</t>
  </si>
  <si>
    <t>蒋迎迎</t>
  </si>
  <si>
    <t>三阶</t>
  </si>
  <si>
    <t>05-宇宙科学/现代科技</t>
  </si>
  <si>
    <t>量子理论，人工智能等（偏运用）</t>
  </si>
  <si>
    <t>造物意识</t>
  </si>
  <si>
    <t>地球提升之路</t>
  </si>
  <si>
    <t>杜旻旻</t>
  </si>
  <si>
    <t>2025/7/3</t>
  </si>
  <si>
    <t>刘小慧</t>
  </si>
  <si>
    <t>四阶</t>
  </si>
  <si>
    <t>06-佛法基础常识</t>
  </si>
  <si>
    <t>佛法理论</t>
  </si>
  <si>
    <t>源头与意识</t>
  </si>
  <si>
    <t>04-地球扬升</t>
  </si>
  <si>
    <t>17-高维文学-散文诗</t>
  </si>
  <si>
    <t>梅集</t>
  </si>
  <si>
    <t>共同参与</t>
  </si>
  <si>
    <t>课程专用</t>
  </si>
  <si>
    <t>经典</t>
  </si>
  <si>
    <t>上帝粒子</t>
  </si>
  <si>
    <t>16-诗</t>
  </si>
  <si>
    <t>人体与灵魂的未解之谜</t>
  </si>
  <si>
    <t>张轶群</t>
  </si>
  <si>
    <t>灵性基础、散文类、灵性知识类、揭秘类、理论</t>
  </si>
  <si>
    <t>生命科学与空性智慧</t>
  </si>
  <si>
    <t>18-高维文学-小说</t>
  </si>
  <si>
    <t>来自地心的问候</t>
  </si>
  <si>
    <t>-</t>
  </si>
  <si>
    <t>无文稿</t>
  </si>
  <si>
    <t>刘冬梅</t>
  </si>
  <si>
    <t>10-灵性成长-身心疗愈</t>
  </si>
  <si>
    <t>能量疗愈，情绪管理</t>
  </si>
  <si>
    <t>宇宙科学能量疗法</t>
  </si>
  <si>
    <t>13-小说</t>
  </si>
  <si>
    <t>我眼中的宇宙之王</t>
  </si>
  <si>
    <t>陈琪琪</t>
  </si>
  <si>
    <t>修心知识、散文</t>
  </si>
  <si>
    <t>能量疗愈显相法</t>
  </si>
  <si>
    <t>明日之歌</t>
  </si>
  <si>
    <t>林巧玲</t>
  </si>
  <si>
    <t>禅修，冥想方法，灵魂觉醒</t>
  </si>
  <si>
    <t>能量法则</t>
  </si>
  <si>
    <t>礼记</t>
  </si>
  <si>
    <t>周统志</t>
  </si>
  <si>
    <t>13-落地智慧-日常生活</t>
  </si>
  <si>
    <t>衣食住行，个人提升</t>
  </si>
  <si>
    <t>空性能量</t>
  </si>
  <si>
    <t>公约社区</t>
  </si>
  <si>
    <t>海榆</t>
  </si>
  <si>
    <t>？</t>
  </si>
  <si>
    <t>14-落地智慧-事业财富</t>
  </si>
  <si>
    <t>事业，财富</t>
  </si>
  <si>
    <t>金钱能量</t>
  </si>
  <si>
    <t>无限</t>
  </si>
  <si>
    <t>温愉琦</t>
  </si>
  <si>
    <t>15-落地智慧-人际关系</t>
  </si>
  <si>
    <t>爱情，亲子，朋友等</t>
  </si>
  <si>
    <t>植物能量的起源</t>
  </si>
  <si>
    <t>20-高维解读-时事点评</t>
  </si>
  <si>
    <t>疫情报告</t>
  </si>
  <si>
    <t>暂停</t>
  </si>
  <si>
    <t>16-新文明新商业</t>
  </si>
  <si>
    <t>宇宙能量与灵魂的关系</t>
  </si>
  <si>
    <t>99-暂停</t>
  </si>
  <si>
    <t>灵性文章合集（中英文）</t>
  </si>
  <si>
    <t>徐丹</t>
  </si>
  <si>
    <t>链接灵魂</t>
  </si>
  <si>
    <t>森林之子</t>
  </si>
  <si>
    <t>含灵</t>
  </si>
  <si>
    <t>灵魂觉醒</t>
  </si>
  <si>
    <t>生命之花</t>
  </si>
  <si>
    <t>19-人物揭秘/传记</t>
  </si>
  <si>
    <t>解密灵魂出窍</t>
  </si>
  <si>
    <t>四书五经</t>
  </si>
  <si>
    <t>万玲玲</t>
  </si>
  <si>
    <t>血河之艳</t>
  </si>
  <si>
    <t>李静/刘小慧</t>
  </si>
  <si>
    <t>李奕萱</t>
  </si>
  <si>
    <t>21-高维解读-高维影评</t>
  </si>
  <si>
    <t>灵魂之光</t>
  </si>
  <si>
    <t>孙晓辰</t>
  </si>
  <si>
    <t>22-高维讯息-基督世界</t>
  </si>
  <si>
    <t>命运之门</t>
  </si>
  <si>
    <t>林臻皓</t>
  </si>
  <si>
    <t>23-高维讯息-穆斯林世界</t>
  </si>
  <si>
    <r>
      <rPr>
        <sz val="10"/>
        <rFont val="Times New Roman"/>
        <charset val="1"/>
      </rPr>
      <t>363</t>
    </r>
    <r>
      <rPr>
        <sz val="10"/>
        <rFont val="Noto Sans CJK SC"/>
        <charset val="1"/>
      </rPr>
      <t>号宇宙史</t>
    </r>
  </si>
  <si>
    <t>国版</t>
  </si>
  <si>
    <t>2025/4/29</t>
  </si>
  <si>
    <t>2025/4/30</t>
  </si>
  <si>
    <t>三生三世</t>
  </si>
  <si>
    <t>24-百家讲坛</t>
  </si>
  <si>
    <t>地球文明史</t>
  </si>
  <si>
    <t>2025/5/27</t>
  </si>
  <si>
    <t>2025/5/28</t>
  </si>
  <si>
    <t>紫薇圣人与弥赛亚</t>
  </si>
  <si>
    <t>亚特兰蒂斯的兴衰</t>
  </si>
  <si>
    <t>15-人物揭秘</t>
  </si>
  <si>
    <t>海底之星：鲛人族</t>
  </si>
  <si>
    <t>火星智慧</t>
  </si>
  <si>
    <t>陈琪琪/刘小慧</t>
  </si>
  <si>
    <r>
      <rPr>
        <sz val="10"/>
        <rFont val="Times New Roman"/>
        <charset val="134"/>
      </rPr>
      <t>363</t>
    </r>
    <r>
      <rPr>
        <sz val="10"/>
        <rFont val="Noto Sans CJK SC"/>
        <charset val="1"/>
      </rPr>
      <t>号宇宙科学家之三次元释义</t>
    </r>
  </si>
  <si>
    <t>2025/6/2</t>
  </si>
  <si>
    <t>龙族的文明</t>
  </si>
  <si>
    <t>2025/5/5</t>
  </si>
  <si>
    <t>宇宙大百科</t>
  </si>
  <si>
    <t>龙族的画报</t>
  </si>
  <si>
    <t>卢卢</t>
  </si>
  <si>
    <r>
      <rPr>
        <sz val="10"/>
        <rFont val="Times New Roman"/>
        <charset val="134"/>
      </rPr>
      <t>363</t>
    </r>
    <r>
      <rPr>
        <sz val="10"/>
        <rFont val="Noto Sans CJK SC"/>
        <charset val="1"/>
      </rPr>
      <t>号宇宙空间构成学</t>
    </r>
  </si>
  <si>
    <t>禅修的秘密</t>
  </si>
  <si>
    <t>冯昆</t>
  </si>
  <si>
    <t>363号宇宙星系运算法则</t>
  </si>
  <si>
    <t>05-禅修指导</t>
  </si>
  <si>
    <t>龙的秘密</t>
  </si>
  <si>
    <t>夏柚佳</t>
  </si>
  <si>
    <t>363号宇宙银河系的构成</t>
  </si>
  <si>
    <t>金星世界</t>
  </si>
  <si>
    <t>遨游宇宙</t>
  </si>
  <si>
    <t>龙族如何管理三次元地球</t>
  </si>
  <si>
    <t>万有空间论</t>
  </si>
  <si>
    <t>2025/6/3</t>
  </si>
  <si>
    <t>日光宇宙</t>
  </si>
  <si>
    <t>天目</t>
  </si>
  <si>
    <t>天河水，神圣的母亲河</t>
  </si>
  <si>
    <t>中脉开启方法</t>
  </si>
  <si>
    <t>363号宇宙科学系列（暗物质+反物质+引力波）</t>
  </si>
  <si>
    <t>2025/5/31</t>
  </si>
  <si>
    <t>倾听花开的声音</t>
  </si>
  <si>
    <t>暗物质，宇宙的卸载器</t>
  </si>
  <si>
    <t>时光机穿越</t>
  </si>
  <si>
    <t>三次元地球的提升</t>
  </si>
  <si>
    <t>时间之窗</t>
  </si>
  <si>
    <t>凤凰族的文明</t>
  </si>
  <si>
    <t>宇宙地图</t>
  </si>
  <si>
    <t>2025/4/24</t>
  </si>
  <si>
    <t>2025/4/25</t>
  </si>
  <si>
    <t>四次元地球</t>
  </si>
  <si>
    <t>2025/5/29</t>
  </si>
  <si>
    <t>星座的秘密</t>
  </si>
  <si>
    <t>第三世界</t>
  </si>
  <si>
    <t>智慧中枢系统学</t>
  </si>
  <si>
    <t>凤凰的秘密</t>
  </si>
  <si>
    <t>螺旋体及其在宇宙当中的应用</t>
  </si>
  <si>
    <t>瑜伽经</t>
  </si>
  <si>
    <t>双身法</t>
  </si>
  <si>
    <t>06-宇宙知识-宇宙实相</t>
  </si>
  <si>
    <t>玄洞</t>
  </si>
  <si>
    <r>
      <rPr>
        <sz val="10"/>
        <rFont val="Times New Roman"/>
        <charset val="134"/>
      </rPr>
      <t>363</t>
    </r>
    <r>
      <rPr>
        <sz val="10"/>
        <rFont val="Noto Sans CJK SC"/>
        <charset val="1"/>
      </rPr>
      <t>号宇宙灵魂档案馆</t>
    </r>
  </si>
  <si>
    <t>因果</t>
  </si>
  <si>
    <t>灵魂档案馆揭秘篇</t>
  </si>
  <si>
    <t>01-佛法知识-基础常识</t>
  </si>
  <si>
    <t>轮回系统的科学设计</t>
  </si>
  <si>
    <t>命运</t>
  </si>
  <si>
    <t>轮回</t>
  </si>
  <si>
    <t>时空穿梭</t>
  </si>
  <si>
    <t>地狱道系列</t>
  </si>
  <si>
    <t>禅境密意</t>
  </si>
  <si>
    <t>02-佛法知识-佛法高阶</t>
  </si>
  <si>
    <t>金钱与财富</t>
  </si>
  <si>
    <t>花仙子之家</t>
  </si>
  <si>
    <t>让外星高科技划过苍穹</t>
  </si>
  <si>
    <t>四次元之家</t>
  </si>
  <si>
    <t>五次元文明</t>
  </si>
  <si>
    <t>缘分</t>
  </si>
  <si>
    <t>六次元香巴拉空间构造</t>
  </si>
  <si>
    <t>白骨志传</t>
  </si>
  <si>
    <t>2025/5/14</t>
  </si>
  <si>
    <t>2025/5/15</t>
  </si>
  <si>
    <t>业力</t>
  </si>
  <si>
    <t>九尾狐传奇</t>
  </si>
  <si>
    <t>2025/5/26</t>
  </si>
  <si>
    <t>爱的语言</t>
  </si>
  <si>
    <t>九天玄女</t>
  </si>
  <si>
    <t>桃花林详记</t>
  </si>
  <si>
    <t>2025/5/21</t>
  </si>
  <si>
    <t>2025/5/22</t>
  </si>
  <si>
    <t>安拉列传</t>
  </si>
  <si>
    <t>修行修心</t>
  </si>
  <si>
    <t>天梯</t>
  </si>
  <si>
    <t>省版登记被驳回</t>
  </si>
  <si>
    <t>佛学修行常识四篇</t>
  </si>
  <si>
    <t>精灵世界</t>
  </si>
  <si>
    <t>阿卡曼星球</t>
  </si>
  <si>
    <t>外星世界</t>
  </si>
  <si>
    <t>蓝色星球-爱之星</t>
  </si>
  <si>
    <t>紫薇星垣</t>
  </si>
  <si>
    <t>外星医学简史</t>
  </si>
  <si>
    <t>紫薇圣人的身世之谜</t>
  </si>
  <si>
    <t>识别概论（唯识概论）</t>
  </si>
  <si>
    <t>佛学常识系列</t>
  </si>
  <si>
    <t>麒麟世界美之境</t>
  </si>
  <si>
    <t>2025/5/6</t>
  </si>
  <si>
    <t>2025/5/7</t>
  </si>
  <si>
    <t>六度万行</t>
  </si>
  <si>
    <t>麒麟祖母传</t>
  </si>
  <si>
    <t>四大灵兽空间构造原理</t>
  </si>
  <si>
    <t>子女因果论</t>
  </si>
  <si>
    <t>10-落地生活</t>
  </si>
  <si>
    <t>佛学密法常识系列</t>
  </si>
  <si>
    <t>弥赛亚</t>
  </si>
  <si>
    <t>天使之翼</t>
  </si>
  <si>
    <t>扬升如约而至</t>
  </si>
  <si>
    <t>基督意识</t>
  </si>
  <si>
    <t>无极老母传记</t>
  </si>
  <si>
    <t>去伪存真</t>
  </si>
  <si>
    <t>万教合一</t>
  </si>
  <si>
    <t>一眼之间</t>
  </si>
  <si>
    <t>有缘无缘之夫妻缘</t>
  </si>
  <si>
    <t>未来花园</t>
  </si>
  <si>
    <t>他/她不属于你</t>
  </si>
  <si>
    <t>紫薇圣人的成长历程</t>
  </si>
  <si>
    <t>爱情考分</t>
  </si>
  <si>
    <t>浪漫甜心屋</t>
  </si>
  <si>
    <t>因果之手</t>
  </si>
  <si>
    <t>因果十例</t>
  </si>
  <si>
    <t>因果那些事儿</t>
  </si>
  <si>
    <t>因果中的三次元</t>
  </si>
  <si>
    <t>修行与修心</t>
  </si>
  <si>
    <t>婚姻是道场</t>
  </si>
  <si>
    <t>西游记背后的故事</t>
  </si>
  <si>
    <t>天人合一</t>
  </si>
  <si>
    <t>修行人的事业有成</t>
  </si>
  <si>
    <t>药师佛在东方</t>
  </si>
  <si>
    <t>药师传</t>
  </si>
  <si>
    <t>道德经眇解</t>
  </si>
  <si>
    <t>工作中的修行之美</t>
  </si>
  <si>
    <t>事业心就是修行心</t>
  </si>
  <si>
    <t>寻周易之源</t>
  </si>
  <si>
    <t>修心的现代释义</t>
  </si>
  <si>
    <t>事业系列篇</t>
  </si>
  <si>
    <t>高维影评系列</t>
  </si>
  <si>
    <t>14-高维影评</t>
  </si>
  <si>
    <t>现代女性修心智慧</t>
  </si>
  <si>
    <t>兄弟姐妹之手足情</t>
  </si>
  <si>
    <t>寂静的湖面</t>
  </si>
  <si>
    <t>爱情婚姻家庭</t>
  </si>
  <si>
    <t>月亮女神</t>
  </si>
  <si>
    <t>时间管理</t>
  </si>
  <si>
    <t>轮回的智慧</t>
  </si>
  <si>
    <t>灵性世界初探</t>
  </si>
  <si>
    <t>真假灵性</t>
  </si>
  <si>
    <t>高维时事点评</t>
  </si>
  <si>
    <t>12-时事点评</t>
  </si>
  <si>
    <t>咒语</t>
  </si>
  <si>
    <t>智慧生死观</t>
  </si>
  <si>
    <t>未解之谜系列</t>
  </si>
  <si>
    <t>11-地球未解之谜</t>
  </si>
  <si>
    <t>微呼吸</t>
  </si>
  <si>
    <t>宇宙知识系列</t>
  </si>
  <si>
    <t>（暗物质+反物质+引力波+时光机穿越）</t>
  </si>
  <si>
    <t>新文明建设的全貌</t>
  </si>
  <si>
    <t>09-新文明</t>
  </si>
  <si>
    <t>民族服饰与生活</t>
  </si>
  <si>
    <t>巧夺天工的东方服饰</t>
  </si>
  <si>
    <t>修心精要</t>
  </si>
  <si>
    <t>致最美的婚姻</t>
  </si>
  <si>
    <t>婚姻关系篇</t>
  </si>
  <si>
    <t>一个会飞的红毛球引发的思考</t>
  </si>
  <si>
    <t>单身情歌</t>
  </si>
  <si>
    <t>心之旅</t>
  </si>
  <si>
    <t>圣之新经</t>
  </si>
  <si>
    <t>如梦如幻</t>
  </si>
  <si>
    <t>再见吧，婚姻</t>
  </si>
  <si>
    <t>心光</t>
  </si>
  <si>
    <t>福德与幸福</t>
  </si>
  <si>
    <t>回归自然</t>
  </si>
  <si>
    <t>琪琪/刘小慧</t>
  </si>
  <si>
    <t>财运</t>
  </si>
  <si>
    <t>现代儿童家庭教育学</t>
  </si>
  <si>
    <t>现代因果录</t>
  </si>
  <si>
    <t>事业之金刚智慧</t>
  </si>
  <si>
    <t>事业即修心</t>
  </si>
  <si>
    <t>习气精品屋</t>
  </si>
  <si>
    <t>西方心理</t>
  </si>
  <si>
    <t>前缘</t>
  </si>
  <si>
    <t>隐藏的灵性</t>
  </si>
  <si>
    <t>新纪元</t>
  </si>
  <si>
    <t>植物能量</t>
  </si>
  <si>
    <t>识香</t>
  </si>
  <si>
    <t>植物精油说</t>
  </si>
  <si>
    <t>18-疗愈系列</t>
  </si>
  <si>
    <t>茶话</t>
  </si>
  <si>
    <t>禅修的奥秘</t>
  </si>
  <si>
    <t>植物精油产业链</t>
  </si>
  <si>
    <t>内部</t>
  </si>
  <si>
    <t>生命密码</t>
  </si>
  <si>
    <t>生命的疗愈</t>
  </si>
  <si>
    <t>公约文明</t>
  </si>
  <si>
    <t>新文明之心文明系列</t>
  </si>
  <si>
    <t>公约文明建筑设计</t>
  </si>
  <si>
    <t>The One</t>
  </si>
  <si>
    <t>新文明下公约社区商业运营</t>
  </si>
  <si>
    <t>一阶课前准备工作</t>
  </si>
  <si>
    <t>社区规划建设模式</t>
  </si>
  <si>
    <t>爱与自由</t>
  </si>
  <si>
    <t>12星座揭秘</t>
  </si>
  <si>
    <t>父母训练营</t>
  </si>
  <si>
    <t>和平的翅膀</t>
  </si>
  <si>
    <t>衣的文化与使命</t>
  </si>
  <si>
    <t>新时代的布道</t>
  </si>
  <si>
    <t>中医指南</t>
  </si>
  <si>
    <t>继之</t>
  </si>
  <si>
    <t>古代寻常人家</t>
  </si>
  <si>
    <t>本草纲木</t>
  </si>
  <si>
    <t>农耕文化-种植</t>
  </si>
  <si>
    <t>金奕</t>
  </si>
  <si>
    <t>时间管理实务</t>
  </si>
  <si>
    <t>恩强</t>
  </si>
  <si>
    <t>中华民族文明史浅述</t>
  </si>
  <si>
    <t>天国之路</t>
  </si>
  <si>
    <t>圣爱与和平</t>
  </si>
  <si>
    <t>彩虹战士之勇</t>
  </si>
  <si>
    <t>信仰与自由</t>
  </si>
  <si>
    <t>探索月球</t>
  </si>
  <si>
    <t>神性之体-莲花心</t>
  </si>
  <si>
    <t>师</t>
  </si>
  <si>
    <t>万物有灵</t>
  </si>
  <si>
    <t>修心初始</t>
  </si>
  <si>
    <t>噶玛巴五世管家</t>
  </si>
  <si>
    <t>故事不对</t>
  </si>
  <si>
    <t>道法与武功</t>
  </si>
  <si>
    <t>易经之现代解义</t>
  </si>
  <si>
    <t>植物链接精要</t>
  </si>
  <si>
    <t>11-修行修心-新密法</t>
  </si>
  <si>
    <t>黄帝内经现代释义</t>
  </si>
  <si>
    <t>中文</t>
  </si>
  <si>
    <t>密法传承</t>
  </si>
  <si>
    <t>基督新语</t>
  </si>
  <si>
    <t>周易卦释</t>
  </si>
  <si>
    <t>课诵1</t>
  </si>
  <si>
    <t>天国的呼唤</t>
  </si>
  <si>
    <t>?</t>
  </si>
  <si>
    <t>升维之旅</t>
  </si>
  <si>
    <t>飞逝的流星</t>
  </si>
  <si>
    <t>仙兽神传</t>
  </si>
  <si>
    <t>小朵亚的冒险之旅</t>
  </si>
  <si>
    <t>363号宇宙史</t>
  </si>
  <si>
    <t>极乐世界</t>
  </si>
  <si>
    <t>灵魂档案馆</t>
  </si>
  <si>
    <t>空行密法传承</t>
  </si>
  <si>
    <t>心念的力量</t>
  </si>
  <si>
    <t>观音菩萨家族史</t>
  </si>
  <si>
    <t>星系算法</t>
  </si>
  <si>
    <t>363号宇宙灵魂档案馆</t>
  </si>
  <si>
    <t>363号宇宙星系图谱</t>
  </si>
  <si>
    <t>课程</t>
  </si>
  <si>
    <t>363号宇宙星系规则</t>
  </si>
  <si>
    <t>西窗对话</t>
  </si>
  <si>
    <t>19-宇宙科学</t>
  </si>
  <si>
    <t>灵性之光</t>
  </si>
  <si>
    <t>363号宇宙科学家之三次元释义</t>
  </si>
  <si>
    <t>论觉察</t>
  </si>
  <si>
    <t>觉察的次第</t>
  </si>
  <si>
    <t>小千世界</t>
  </si>
  <si>
    <t>佐伊的快乐生活</t>
  </si>
  <si>
    <t>花儿成长札记</t>
  </si>
  <si>
    <t>长大与不想长大</t>
  </si>
  <si>
    <t>阳光少女长成记</t>
  </si>
  <si>
    <t>太阳与月亮的相携成长</t>
  </si>
  <si>
    <t>反省</t>
  </si>
  <si>
    <t>领悟之详解</t>
  </si>
  <si>
    <t>观领悟</t>
  </si>
  <si>
    <t>音乐疗愈</t>
  </si>
  <si>
    <t>天使的先知能量</t>
  </si>
  <si>
    <t>礼记乐事篇</t>
  </si>
  <si>
    <t>礼记妙音</t>
  </si>
  <si>
    <t>则天真史</t>
  </si>
  <si>
    <t>天地乾坤</t>
  </si>
  <si>
    <t>瑜伽经下卷</t>
  </si>
  <si>
    <t>礼记香道</t>
  </si>
  <si>
    <t>量子的奥妙</t>
  </si>
  <si>
    <t>神秘的量子</t>
  </si>
  <si>
    <t>363号宇宙空间构成学</t>
  </si>
  <si>
    <t>特殊空间 灵魂监狱</t>
  </si>
  <si>
    <t>九紫离火运推演</t>
  </si>
  <si>
    <t>梅翠雨文集</t>
  </si>
  <si>
    <t>东方美学</t>
  </si>
  <si>
    <t>宇宙科学能量疗法之揭秘</t>
  </si>
  <si>
    <t>四次元的人文形态</t>
  </si>
  <si>
    <t>关于能量疗愈</t>
  </si>
  <si>
    <t>解读三次元人类</t>
  </si>
  <si>
    <t>五元素精油配比方</t>
  </si>
  <si>
    <t>完结保密</t>
  </si>
  <si>
    <t>五行元素精油三次元使用手册</t>
  </si>
  <si>
    <t>三次元人类能量体与物质相之间的疗愈关系</t>
  </si>
  <si>
    <t>五行元素精油使用指南</t>
  </si>
  <si>
    <t>五行元素精油与禅修</t>
  </si>
  <si>
    <t>宇宙高周波设备简介</t>
  </si>
  <si>
    <t>五行元素与生命密码</t>
  </si>
  <si>
    <t>佛经概览共84部</t>
  </si>
  <si>
    <t>楞伽经白话参</t>
  </si>
  <si>
    <t>楞伽经浅释</t>
  </si>
  <si>
    <t>楞伽经初译版偈语释义</t>
  </si>
  <si>
    <t>吠陀经现代参</t>
  </si>
  <si>
    <t>楞伽经妙解</t>
  </si>
  <si>
    <t>《楞伽经》现代释义</t>
  </si>
  <si>
    <t>蓝色星球简史</t>
  </si>
  <si>
    <t>宇宙游记</t>
  </si>
  <si>
    <t>猫的世界</t>
  </si>
  <si>
    <t>神秘的青丘</t>
  </si>
  <si>
    <t>芯片的制程与工艺</t>
  </si>
  <si>
    <t>七彩能量石疗愈详解</t>
  </si>
  <si>
    <t>七色水晶石与七脉轮</t>
  </si>
  <si>
    <t>七彩能量石管理手册</t>
  </si>
  <si>
    <t>七彩宝石显相法</t>
  </si>
  <si>
    <t>四无量心的现代释义</t>
  </si>
  <si>
    <t>水晶阵法指南</t>
  </si>
  <si>
    <t>量子物理与灵性</t>
  </si>
  <si>
    <t>桃花林记</t>
  </si>
  <si>
    <t>暂停（不准确）</t>
  </si>
  <si>
    <t>浅析小千世界的构成</t>
  </si>
  <si>
    <t>第九次文明的意义</t>
  </si>
  <si>
    <t>神奇的亚特兰蒂斯</t>
  </si>
  <si>
    <t>跳动的音符</t>
  </si>
  <si>
    <t>高频音乐概述</t>
  </si>
  <si>
    <t>至喜瑜伽</t>
  </si>
  <si>
    <t>苏美尔的盛与衰</t>
  </si>
  <si>
    <t>阿拉伯现代启示</t>
  </si>
  <si>
    <t>阿拉伯人如何看世界</t>
  </si>
  <si>
    <t>印度河流域的文明篇章</t>
  </si>
  <si>
    <t>阿拉伯健康养生指引</t>
  </si>
  <si>
    <t>灵性与生活</t>
  </si>
  <si>
    <t>灵性之眼</t>
  </si>
  <si>
    <t>显化之路</t>
  </si>
  <si>
    <t>与灵魂对话</t>
  </si>
  <si>
    <t>内在挖掘</t>
  </si>
  <si>
    <t>梦的启示</t>
  </si>
  <si>
    <t>爱之法门</t>
  </si>
  <si>
    <t>情绪之门</t>
  </si>
  <si>
    <t>灵魂之窗</t>
  </si>
  <si>
    <t>情绪炼化术</t>
  </si>
  <si>
    <t>基因序列</t>
  </si>
  <si>
    <t>庄言于物</t>
  </si>
  <si>
    <t>意识空间地图</t>
  </si>
  <si>
    <t>专注力训练</t>
  </si>
  <si>
    <t>正念冥想</t>
  </si>
  <si>
    <t>意识的真相</t>
  </si>
  <si>
    <t>宗教与信仰</t>
  </si>
  <si>
    <t>身心灵健康书</t>
  </si>
  <si>
    <t>人与自然</t>
  </si>
  <si>
    <t>生与死之间</t>
  </si>
  <si>
    <t>三次元生命体验说明书</t>
  </si>
  <si>
    <t>呼吸与意识</t>
  </si>
  <si>
    <t>婴幼儿陪伴看护指南</t>
  </si>
  <si>
    <t>绿色青年</t>
  </si>
  <si>
    <t>做一个清醒的成年人</t>
  </si>
  <si>
    <t>人体使用手册</t>
  </si>
  <si>
    <t>时间管理手册</t>
  </si>
  <si>
    <t>情绪与身体</t>
  </si>
  <si>
    <t>20-个人成长</t>
  </si>
  <si>
    <t>高情商表达</t>
  </si>
  <si>
    <t>关系的意义</t>
  </si>
  <si>
    <t>灵感与创造</t>
  </si>
  <si>
    <t>最佳职业</t>
  </si>
  <si>
    <t>地球-多元文化的舞台</t>
  </si>
  <si>
    <t>科学与灵性</t>
  </si>
  <si>
    <t>人工智能</t>
  </si>
  <si>
    <t>能量转换法则</t>
  </si>
  <si>
    <t/>
  </si>
  <si>
    <t>人体自愈手册</t>
  </si>
  <si>
    <t>生活习惯与身体机能</t>
  </si>
  <si>
    <t>如何做一个清明梦</t>
  </si>
  <si>
    <t>意识突围</t>
  </si>
  <si>
    <t>命运之轮</t>
  </si>
  <si>
    <t>时光印记</t>
  </si>
  <si>
    <t>甜蜜的负担</t>
  </si>
  <si>
    <t>压力与动力</t>
  </si>
  <si>
    <t>文化素养与修为</t>
  </si>
  <si>
    <t>疾病的量子原理</t>
  </si>
  <si>
    <t>天使之国</t>
  </si>
  <si>
    <t>编号</t>
  </si>
  <si>
    <t>下载管道</t>
  </si>
  <si>
    <t>书目</t>
  </si>
  <si>
    <t>工作状态</t>
  </si>
  <si>
    <t>书籍分类</t>
  </si>
  <si>
    <t>年份</t>
  </si>
  <si>
    <t>合计</t>
  </si>
  <si>
    <t>工作中</t>
  </si>
  <si>
    <t>退转</t>
  </si>
  <si>
    <t>中文书名</t>
  </si>
  <si>
    <t>英文书名</t>
  </si>
  <si>
    <t>the one</t>
  </si>
  <si>
    <t>标签</t>
  </si>
  <si>
    <t>灵性成长类、佛法类、宇宙真相、地球真相揭秘类、经典类、科技类、宇宙科学类</t>
  </si>
  <si>
    <t>宇宙真相</t>
  </si>
  <si>
    <t>宇宙科学类</t>
  </si>
  <si>
    <t>灵性成长类</t>
  </si>
  <si>
    <t>经典类</t>
  </si>
  <si>
    <t>地球真相揭秘类</t>
  </si>
  <si>
    <t>科技类</t>
  </si>
  <si>
    <t>佛法类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</si>
</sst>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 * #,##0.00_ ;_ * \-#,##0.00_ ;_ * &quot;-&quot;??_ ;_ @_ "/>
    <numFmt numFmtId="168" formatCode="yyyy/m/d;@"/>
    <numFmt numFmtId="169" formatCode="_ * #,##0_ ;_ * \-#,##0_ ;_ * &quot;-&quot;??_ ;_ @_ "/>
  </numFmts>
  <fonts count="21">
    <font>
      <sz val="11"/>
      <color indexed="8"/>
      <name val="Calibri"/>
      <charset val="134"/>
      <scheme val="minor"/>
    </font>
    <font>
      <b/>
      <sz val="12"/>
      <color indexed="8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0"/>
      <color theme="1"/>
      <name val="宋体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20"/>
      <color rgb="FFFFFFFF"/>
      <name val="Calibri"/>
      <charset val="134"/>
      <scheme val="minor"/>
    </font>
    <font>
      <b/>
      <sz val="12"/>
      <name val="Calibri"/>
      <charset val="134"/>
      <scheme val="minor"/>
    </font>
    <font>
      <b/>
      <sz val="22"/>
      <name val="Calibri"/>
      <charset val="134"/>
      <scheme val="minor"/>
    </font>
    <font>
      <b/>
      <sz val="22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0"/>
      <name val="Times New Roman"/>
      <charset val="134"/>
    </font>
    <font>
      <sz val="10"/>
      <name val="Noto Sans CJK SC"/>
      <charset val="1"/>
    </font>
    <font>
      <sz val="10"/>
      <name val="Times New Roman"/>
      <charset val="1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4DFE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6">
    <xf numFmtId="0" fontId="0" fillId="0" borderId="0">
      <alignment vertical="center"/>
    </xf>
    <xf numFmtId="166" fontId="7" fillId="0" borderId="0" applyFont="0" applyFill="0" applyBorder="0" applyAlignment="0" applyProtection="0">
      <alignment vertical="center"/>
    </xf>
    <xf numFmtId="0" fontId="5" fillId="0" borderId="0"/>
    <xf numFmtId="0" fontId="6" fillId="0" borderId="0"/>
    <xf numFmtId="0" fontId="7" fillId="0" borderId="0">
      <alignment vertical="center"/>
    </xf>
    <xf numFmtId="0" fontId="5" fillId="0" borderId="0">
      <alignment vertical="center"/>
    </xf>
  </cellStyleXfs>
  <cellXfs count="10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168" fontId="2" fillId="0" borderId="1" xfId="0" applyNumberFormat="1" applyFont="1" applyBorder="1" applyAlignment="1">
      <alignment horizontal="left" vertical="center"/>
    </xf>
    <xf numFmtId="0" fontId="3" fillId="3" borderId="1" xfId="5" applyFont="1" applyFill="1" applyBorder="1">
      <alignment vertical="center"/>
    </xf>
    <xf numFmtId="0" fontId="3" fillId="4" borderId="1" xfId="5" applyFont="1" applyFill="1" applyBorder="1" applyAlignment="1">
      <alignment horizontal="center" vertical="center"/>
    </xf>
    <xf numFmtId="169" fontId="2" fillId="0" borderId="1" xfId="1" applyNumberFormat="1" applyFont="1" applyBorder="1">
      <alignment vertical="center"/>
    </xf>
    <xf numFmtId="0" fontId="2" fillId="5" borderId="1" xfId="0" applyFont="1" applyFill="1" applyBorder="1">
      <alignment vertical="center"/>
    </xf>
    <xf numFmtId="0" fontId="3" fillId="0" borderId="0" xfId="5" applyFo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0" xfId="3"/>
    <xf numFmtId="0" fontId="7" fillId="0" borderId="0" xfId="4">
      <alignment vertical="center"/>
    </xf>
    <xf numFmtId="0" fontId="7" fillId="11" borderId="0" xfId="4" applyFill="1">
      <alignment vertical="center"/>
    </xf>
    <xf numFmtId="0" fontId="9" fillId="11" borderId="1" xfId="4" applyFont="1" applyFill="1" applyBorder="1" applyAlignment="1">
      <alignment horizontal="center" vertical="center"/>
    </xf>
    <xf numFmtId="0" fontId="7" fillId="0" borderId="0" xfId="4" applyAlignment="1">
      <alignment horizontal="center" vertical="center"/>
    </xf>
    <xf numFmtId="0" fontId="10" fillId="0" borderId="1" xfId="4" applyFont="1" applyBorder="1" applyAlignment="1">
      <alignment horizontal="center" vertical="center"/>
    </xf>
    <xf numFmtId="0" fontId="7" fillId="12" borderId="5" xfId="4" applyFill="1" applyBorder="1">
      <alignment vertical="center"/>
    </xf>
    <xf numFmtId="0" fontId="10" fillId="0" borderId="1" xfId="4" applyFont="1" applyBorder="1">
      <alignment vertical="center"/>
    </xf>
    <xf numFmtId="0" fontId="9" fillId="12" borderId="5" xfId="4" applyFont="1" applyFill="1" applyBorder="1">
      <alignment vertical="center"/>
    </xf>
    <xf numFmtId="0" fontId="7" fillId="12" borderId="4" xfId="4" applyFill="1" applyBorder="1">
      <alignment vertical="center"/>
    </xf>
    <xf numFmtId="0" fontId="9" fillId="12" borderId="4" xfId="4" applyFont="1" applyFill="1" applyBorder="1">
      <alignment vertical="center"/>
    </xf>
    <xf numFmtId="0" fontId="10" fillId="0" borderId="0" xfId="4" applyFont="1">
      <alignment vertical="center"/>
    </xf>
    <xf numFmtId="0" fontId="9" fillId="11" borderId="1" xfId="4" applyFont="1" applyFill="1" applyBorder="1">
      <alignment vertical="center"/>
    </xf>
    <xf numFmtId="0" fontId="7" fillId="0" borderId="0" xfId="0" applyFont="1">
      <alignment vertical="center"/>
    </xf>
    <xf numFmtId="0" fontId="3" fillId="4" borderId="1" xfId="5" applyFont="1" applyFill="1" applyBorder="1" applyAlignment="1">
      <alignment horizontal="left" vertical="center"/>
    </xf>
    <xf numFmtId="14" fontId="3" fillId="4" borderId="1" xfId="5" applyNumberFormat="1" applyFont="1" applyFill="1" applyBorder="1" applyAlignment="1">
      <alignment horizontal="center" vertical="center"/>
    </xf>
    <xf numFmtId="0" fontId="3" fillId="3" borderId="1" xfId="5" applyFont="1" applyFill="1" applyBorder="1" applyAlignment="1">
      <alignment horizontal="left" vertical="center"/>
    </xf>
    <xf numFmtId="0" fontId="2" fillId="13" borderId="0" xfId="0" applyFont="1" applyFill="1">
      <alignment vertical="center"/>
    </xf>
    <xf numFmtId="0" fontId="2" fillId="0" borderId="0" xfId="0" applyFont="1" applyAlignment="1">
      <alignment vertical="center"/>
    </xf>
    <xf numFmtId="0" fontId="4" fillId="6" borderId="2" xfId="0" applyFont="1" applyFill="1" applyBorder="1" applyAlignment="1">
      <alignment horizontal="left" vertical="center"/>
    </xf>
    <xf numFmtId="14" fontId="4" fillId="6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14" fontId="5" fillId="8" borderId="2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14" fontId="5" fillId="9" borderId="2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14" fontId="11" fillId="6" borderId="2" xfId="0" applyNumberFormat="1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14" fontId="6" fillId="7" borderId="2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14" fontId="6" fillId="9" borderId="2" xfId="0" applyNumberFormat="1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7" fillId="0" borderId="0" xfId="0" applyFont="1" applyAlignment="1"/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5" fillId="0" borderId="0" xfId="2"/>
    <xf numFmtId="0" fontId="5" fillId="0" borderId="9" xfId="2" applyBorder="1" applyAlignment="1"/>
    <xf numFmtId="0" fontId="5" fillId="0" borderId="10" xfId="2" applyBorder="1" applyAlignment="1"/>
    <xf numFmtId="0" fontId="5" fillId="0" borderId="11" xfId="2" applyBorder="1" applyAlignment="1"/>
    <xf numFmtId="0" fontId="5" fillId="0" borderId="8" xfId="2" applyBorder="1" applyAlignment="1"/>
    <xf numFmtId="0" fontId="5" fillId="0" borderId="7" xfId="2" applyBorder="1" applyAlignment="1"/>
    <xf numFmtId="0" fontId="5" fillId="0" borderId="0" xfId="2" applyAlignment="1"/>
    <xf numFmtId="0" fontId="5" fillId="0" borderId="13" xfId="2" applyBorder="1" applyAlignment="1"/>
    <xf numFmtId="0" fontId="6" fillId="7" borderId="2" xfId="0" quotePrefix="1" applyFont="1" applyFill="1" applyBorder="1" applyAlignment="1">
      <alignment horizontal="center" vertical="center" wrapText="1"/>
    </xf>
    <xf numFmtId="0" fontId="14" fillId="15" borderId="14" xfId="2" applyFont="1" applyFill="1" applyBorder="1" applyAlignment="1">
      <alignment horizontal="center" vertical="center"/>
    </xf>
    <xf numFmtId="0" fontId="14" fillId="15" borderId="7" xfId="2" applyFont="1" applyFill="1" applyBorder="1" applyAlignment="1">
      <alignment horizontal="center" vertical="center"/>
    </xf>
    <xf numFmtId="0" fontId="14" fillId="15" borderId="9" xfId="2" applyFont="1" applyFill="1" applyBorder="1" applyAlignment="1">
      <alignment horizontal="center" vertical="center"/>
    </xf>
    <xf numFmtId="0" fontId="14" fillId="15" borderId="10" xfId="2" applyFont="1" applyFill="1" applyBorder="1" applyAlignment="1">
      <alignment horizontal="center" vertical="center"/>
    </xf>
    <xf numFmtId="0" fontId="14" fillId="9" borderId="0" xfId="2" applyFont="1" applyFill="1" applyBorder="1" applyAlignment="1">
      <alignment horizontal="center" vertical="center"/>
    </xf>
    <xf numFmtId="0" fontId="14" fillId="9" borderId="10" xfId="2" applyFont="1" applyFill="1" applyBorder="1" applyAlignment="1">
      <alignment horizontal="center" vertical="center"/>
    </xf>
    <xf numFmtId="0" fontId="15" fillId="15" borderId="14" xfId="2" applyFont="1" applyFill="1" applyBorder="1" applyAlignment="1">
      <alignment horizontal="center" vertical="center"/>
    </xf>
    <xf numFmtId="0" fontId="15" fillId="15" borderId="7" xfId="2" applyFont="1" applyFill="1" applyBorder="1" applyAlignment="1">
      <alignment horizontal="center" vertical="center"/>
    </xf>
    <xf numFmtId="0" fontId="15" fillId="15" borderId="12" xfId="2" applyFont="1" applyFill="1" applyBorder="1" applyAlignment="1">
      <alignment horizontal="center" vertical="center"/>
    </xf>
    <xf numFmtId="0" fontId="15" fillId="15" borderId="0" xfId="2" applyFont="1" applyFill="1" applyBorder="1" applyAlignment="1">
      <alignment horizontal="center" vertical="center"/>
    </xf>
    <xf numFmtId="0" fontId="16" fillId="9" borderId="0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5" fillId="14" borderId="6" xfId="2" applyFont="1" applyFill="1" applyBorder="1" applyAlignment="1">
      <alignment horizontal="center" vertical="center"/>
    </xf>
    <xf numFmtId="0" fontId="5" fillId="0" borderId="7" xfId="2" applyBorder="1"/>
    <xf numFmtId="0" fontId="5" fillId="0" borderId="8" xfId="2" applyBorder="1"/>
    <xf numFmtId="0" fontId="5" fillId="0" borderId="12" xfId="2" applyBorder="1"/>
    <xf numFmtId="0" fontId="5" fillId="0" borderId="0" xfId="2"/>
    <xf numFmtId="0" fontId="5" fillId="0" borderId="13" xfId="2" applyBorder="1"/>
    <xf numFmtId="0" fontId="5" fillId="0" borderId="9" xfId="2" applyBorder="1"/>
    <xf numFmtId="0" fontId="5" fillId="0" borderId="10" xfId="2" applyBorder="1"/>
    <xf numFmtId="0" fontId="5" fillId="0" borderId="11" xfId="2" applyBorder="1"/>
    <xf numFmtId="0" fontId="13" fillId="10" borderId="0" xfId="2" applyFont="1" applyFill="1" applyAlignment="1">
      <alignment horizontal="center" vertical="center"/>
    </xf>
    <xf numFmtId="0" fontId="14" fillId="6" borderId="6" xfId="2" applyFont="1" applyFill="1" applyBorder="1" applyAlignment="1">
      <alignment horizontal="left" vertical="center"/>
    </xf>
    <xf numFmtId="0" fontId="15" fillId="6" borderId="6" xfId="2" applyFont="1" applyFill="1" applyBorder="1" applyAlignment="1">
      <alignment horizontal="center" vertical="center"/>
    </xf>
    <xf numFmtId="0" fontId="14" fillId="8" borderId="6" xfId="2" applyFont="1" applyFill="1" applyBorder="1" applyAlignment="1">
      <alignment horizontal="left" vertical="center"/>
    </xf>
    <xf numFmtId="0" fontId="15" fillId="8" borderId="6" xfId="2" applyFont="1" applyFill="1" applyBorder="1" applyAlignment="1">
      <alignment horizontal="center" vertical="center"/>
    </xf>
    <xf numFmtId="0" fontId="17" fillId="0" borderId="0" xfId="2" applyFont="1" applyAlignment="1">
      <alignment horizontal="left" vertical="center" wrapText="1"/>
    </xf>
    <xf numFmtId="0" fontId="14" fillId="14" borderId="6" xfId="2" applyFont="1" applyFill="1" applyBorder="1" applyAlignment="1">
      <alignment horizontal="left" vertical="center"/>
    </xf>
    <xf numFmtId="0" fontId="7" fillId="11" borderId="3" xfId="4" applyFill="1" applyBorder="1" applyAlignment="1">
      <alignment horizontal="center" vertical="center"/>
    </xf>
    <xf numFmtId="0" fontId="7" fillId="11" borderId="4" xfId="4" applyFill="1" applyBorder="1" applyAlignment="1">
      <alignment horizontal="center" vertical="center"/>
    </xf>
    <xf numFmtId="0" fontId="9" fillId="11" borderId="3" xfId="4" applyFont="1" applyFill="1" applyBorder="1" applyAlignment="1">
      <alignment horizontal="center" vertical="center"/>
    </xf>
    <xf numFmtId="0" fontId="9" fillId="11" borderId="4" xfId="4" applyFont="1" applyFill="1" applyBorder="1" applyAlignment="1">
      <alignment horizontal="center" vertical="center"/>
    </xf>
    <xf numFmtId="0" fontId="8" fillId="10" borderId="0" xfId="3" applyFont="1" applyFill="1" applyAlignment="1">
      <alignment horizontal="center" vertical="center"/>
    </xf>
    <xf numFmtId="0" fontId="6" fillId="0" borderId="0" xfId="3"/>
  </cellXfs>
  <cellStyles count="6">
    <cellStyle name="Comma" xfId="1" builtinId="3"/>
    <cellStyle name="Normal" xfId="0" builtinId="0"/>
    <cellStyle name="Normal 2" xfId="2" xr:uid="{00000000-0005-0000-0000-000031000000}"/>
    <cellStyle name="Normal 2 2" xfId="3" xr:uid="{00000000-0005-0000-0000-000032000000}"/>
    <cellStyle name="Normal 3" xfId="4" xr:uid="{00000000-0005-0000-0000-000033000000}"/>
    <cellStyle name="常规 2" xfId="5" xr:uid="{00000000-0005-0000-0000-000034000000}"/>
  </cellStyles>
  <dxfs count="11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6404/AppData/Local/Microsoft/Windows/INetCache/IE/0RN8WSMA/&#23431;&#23449;&#34255;&#20070;&#38401;_&#24635;&#35272;&#30475;&#26495;&#27169;&#26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品总表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workbookViewId="0">
      <selection activeCell="I17" sqref="I17"/>
    </sheetView>
  </sheetViews>
  <sheetFormatPr defaultColWidth="9" defaultRowHeight="14.5"/>
  <cols>
    <col min="1" max="1" width="14" style="65" customWidth="1"/>
    <col min="2" max="3" width="21.1796875" style="65" customWidth="1"/>
    <col min="4" max="4" width="4.6328125" style="65" customWidth="1"/>
    <col min="5" max="5" width="13.81640625" style="65" customWidth="1"/>
    <col min="6" max="6" width="12.54296875" style="65" customWidth="1"/>
    <col min="7" max="7" width="13.1796875" style="65" customWidth="1"/>
    <col min="8" max="12" width="14" style="65" customWidth="1"/>
    <col min="13" max="16384" width="9" style="65"/>
  </cols>
  <sheetData>
    <row r="1" spans="1:12" ht="24" customHeight="1">
      <c r="A1" s="95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ht="24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ht="24" customHeight="1"/>
    <row r="4" spans="1:12" ht="24" customHeight="1">
      <c r="A4" s="96" t="s">
        <v>1</v>
      </c>
      <c r="B4" s="87"/>
      <c r="C4" s="87"/>
      <c r="D4" s="88"/>
      <c r="E4" s="98" t="s">
        <v>2</v>
      </c>
      <c r="F4" s="87"/>
      <c r="G4" s="88"/>
      <c r="H4" s="98" t="s">
        <v>3</v>
      </c>
      <c r="I4" s="87"/>
      <c r="J4" s="88"/>
    </row>
    <row r="5" spans="1:12" ht="24" customHeight="1">
      <c r="A5" s="92"/>
      <c r="B5" s="93"/>
      <c r="C5" s="93"/>
      <c r="D5" s="94"/>
      <c r="E5" s="92"/>
      <c r="F5" s="93"/>
      <c r="G5" s="94"/>
      <c r="H5" s="92"/>
      <c r="I5" s="93"/>
      <c r="J5" s="94"/>
    </row>
    <row r="6" spans="1:12" ht="24" customHeight="1">
      <c r="A6" s="97">
        <f>MAX(中文书目!A2:A1000)</f>
        <v>368</v>
      </c>
      <c r="B6" s="87"/>
      <c r="C6" s="87"/>
      <c r="D6" s="88"/>
      <c r="E6" s="99">
        <f>MAX(中文书目!A2:A1000)</f>
        <v>368</v>
      </c>
      <c r="F6" s="87"/>
      <c r="G6" s="88"/>
      <c r="H6" s="99">
        <f>COUNTA([1]作品总表!D2:D400)</f>
        <v>0</v>
      </c>
      <c r="I6" s="87"/>
      <c r="J6" s="88"/>
    </row>
    <row r="7" spans="1:12" ht="24" customHeight="1">
      <c r="A7" s="89"/>
      <c r="B7" s="90"/>
      <c r="C7" s="90"/>
      <c r="D7" s="91"/>
      <c r="E7" s="89"/>
      <c r="F7" s="90"/>
      <c r="G7" s="91"/>
      <c r="H7" s="89"/>
      <c r="I7" s="90"/>
      <c r="J7" s="91"/>
    </row>
    <row r="8" spans="1:12" ht="24" customHeight="1">
      <c r="A8" s="89"/>
      <c r="B8" s="90"/>
      <c r="C8" s="90"/>
      <c r="D8" s="91"/>
      <c r="E8" s="89"/>
      <c r="F8" s="90"/>
      <c r="G8" s="91"/>
      <c r="H8" s="89"/>
      <c r="I8" s="90"/>
      <c r="J8" s="91"/>
    </row>
    <row r="9" spans="1:12" ht="24" customHeight="1">
      <c r="A9" s="92"/>
      <c r="B9" s="93"/>
      <c r="C9" s="93"/>
      <c r="D9" s="94"/>
      <c r="E9" s="92"/>
      <c r="F9" s="93"/>
      <c r="G9" s="94"/>
      <c r="H9" s="92"/>
      <c r="I9" s="93"/>
      <c r="J9" s="94"/>
    </row>
    <row r="10" spans="1:12" ht="24" customHeight="1"/>
    <row r="11" spans="1:12" ht="24" customHeight="1">
      <c r="A11" s="101" t="s">
        <v>4</v>
      </c>
      <c r="B11" s="87"/>
      <c r="C11" s="88"/>
      <c r="D11" s="101" t="s">
        <v>5</v>
      </c>
      <c r="E11" s="87"/>
      <c r="F11" s="88"/>
      <c r="G11" s="101" t="s">
        <v>6</v>
      </c>
      <c r="H11" s="87"/>
      <c r="I11" s="88"/>
      <c r="J11" s="101" t="s">
        <v>7</v>
      </c>
      <c r="K11" s="87"/>
      <c r="L11" s="88"/>
    </row>
    <row r="12" spans="1:12" ht="24" customHeight="1">
      <c r="A12" s="92"/>
      <c r="B12" s="93"/>
      <c r="C12" s="94"/>
      <c r="D12" s="92"/>
      <c r="E12" s="93"/>
      <c r="F12" s="94"/>
      <c r="G12" s="92"/>
      <c r="H12" s="93"/>
      <c r="I12" s="94"/>
      <c r="J12" s="92"/>
      <c r="K12" s="93"/>
      <c r="L12" s="94"/>
    </row>
    <row r="13" spans="1:12" ht="24" customHeight="1">
      <c r="A13" s="86">
        <f>COUNTIF(中文书目!K2:K1000,"未开始")</f>
        <v>34</v>
      </c>
      <c r="B13" s="87"/>
      <c r="C13" s="88"/>
      <c r="D13" s="86">
        <f>COUNTIF(中文书目!K2:K1000,"下载中")</f>
        <v>36</v>
      </c>
      <c r="E13" s="87"/>
      <c r="F13" s="88"/>
      <c r="G13" s="86">
        <f>COUNTIF(中文书目!K2:K1000,"完结")</f>
        <v>239</v>
      </c>
      <c r="H13" s="87"/>
      <c r="I13" s="88"/>
      <c r="J13" s="86">
        <f>COUNTIF(中文书目!K2:K1000,"完结保密")</f>
        <v>1</v>
      </c>
      <c r="K13" s="87"/>
      <c r="L13" s="88"/>
    </row>
    <row r="14" spans="1:12" ht="24" customHeight="1">
      <c r="A14" s="89"/>
      <c r="B14" s="90"/>
      <c r="C14" s="91"/>
      <c r="D14" s="89"/>
      <c r="E14" s="90"/>
      <c r="F14" s="91"/>
      <c r="G14" s="89"/>
      <c r="H14" s="90"/>
      <c r="I14" s="91"/>
      <c r="J14" s="89"/>
      <c r="K14" s="90"/>
      <c r="L14" s="91"/>
    </row>
    <row r="15" spans="1:12" ht="24" customHeight="1">
      <c r="A15" s="92"/>
      <c r="B15" s="93"/>
      <c r="C15" s="94"/>
      <c r="D15" s="92"/>
      <c r="E15" s="93"/>
      <c r="F15" s="94"/>
      <c r="G15" s="92"/>
      <c r="H15" s="93"/>
      <c r="I15" s="94"/>
      <c r="J15" s="92"/>
      <c r="K15" s="93"/>
      <c r="L15" s="94"/>
    </row>
    <row r="16" spans="1:12" ht="24" customHeight="1"/>
    <row r="17" spans="1:12" ht="24" customHeight="1">
      <c r="A17" s="74" t="s">
        <v>8</v>
      </c>
      <c r="B17" s="75"/>
      <c r="C17" s="78" t="s">
        <v>9</v>
      </c>
      <c r="D17" s="78"/>
      <c r="E17" s="74" t="s">
        <v>10</v>
      </c>
      <c r="F17" s="75"/>
      <c r="G17" s="78" t="s">
        <v>11</v>
      </c>
      <c r="H17" s="78"/>
      <c r="L17" s="69"/>
    </row>
    <row r="18" spans="1:12" ht="24" customHeight="1">
      <c r="A18" s="76"/>
      <c r="B18" s="77"/>
      <c r="C18" s="79"/>
      <c r="D18" s="79"/>
      <c r="E18" s="76"/>
      <c r="F18" s="77"/>
      <c r="G18" s="79"/>
      <c r="H18" s="79"/>
      <c r="K18" s="67"/>
      <c r="L18" s="68"/>
    </row>
    <row r="19" spans="1:12" ht="24" customHeight="1">
      <c r="A19" s="80">
        <f>COUNTIF(中文书目!F$2:F$1000,"公共")</f>
        <v>85</v>
      </c>
      <c r="B19" s="81"/>
      <c r="C19" s="84">
        <f>A6-A19-E19-G19</f>
        <v>268</v>
      </c>
      <c r="D19" s="84"/>
      <c r="E19" s="80">
        <f>COUNTIF(中文书目!F$2:F$1000,"西方")</f>
        <v>12</v>
      </c>
      <c r="F19" s="81"/>
      <c r="G19" s="84">
        <f>COUNTIF(中文书目!F$2:F$1000,"阿拉伯")</f>
        <v>3</v>
      </c>
      <c r="H19" s="84"/>
      <c r="I19" s="70"/>
      <c r="J19" s="70"/>
      <c r="K19" s="70"/>
      <c r="L19" s="69"/>
    </row>
    <row r="20" spans="1:12" ht="24" customHeight="1">
      <c r="A20" s="82"/>
      <c r="B20" s="83"/>
      <c r="C20" s="85"/>
      <c r="D20" s="85"/>
      <c r="E20" s="82"/>
      <c r="F20" s="83"/>
      <c r="G20" s="85"/>
      <c r="H20" s="85"/>
      <c r="I20" s="71"/>
      <c r="J20" s="71"/>
      <c r="K20" s="71"/>
      <c r="L20" s="72"/>
    </row>
    <row r="21" spans="1:12" ht="24" customHeight="1">
      <c r="A21" s="66"/>
      <c r="B21" s="67"/>
      <c r="C21" s="67"/>
      <c r="D21" s="67"/>
      <c r="E21" s="67"/>
      <c r="F21" s="68"/>
      <c r="G21" s="66"/>
      <c r="H21" s="67"/>
      <c r="I21" s="67"/>
      <c r="J21" s="67"/>
      <c r="K21" s="67"/>
      <c r="L21" s="68"/>
    </row>
    <row r="22" spans="1:12" ht="24" customHeight="1"/>
    <row r="23" spans="1:12" ht="24" customHeight="1">
      <c r="A23" s="100" t="s">
        <v>12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</row>
    <row r="24" spans="1:12" ht="24" customHeight="1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</row>
    <row r="25" spans="1:12" ht="24" customHeight="1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</row>
    <row r="26" spans="1:12" ht="24" customHeight="1"/>
    <row r="27" spans="1:12" ht="24" customHeight="1"/>
    <row r="28" spans="1:12" ht="24" customHeight="1"/>
    <row r="29" spans="1:12" ht="24" customHeight="1"/>
  </sheetData>
  <mergeCells count="24">
    <mergeCell ref="A23:L25"/>
    <mergeCell ref="A11:C12"/>
    <mergeCell ref="D11:F12"/>
    <mergeCell ref="G11:I12"/>
    <mergeCell ref="J11:L12"/>
    <mergeCell ref="A13:C15"/>
    <mergeCell ref="D13:F15"/>
    <mergeCell ref="G13:I15"/>
    <mergeCell ref="J13:L15"/>
    <mergeCell ref="A1:L2"/>
    <mergeCell ref="A4:D5"/>
    <mergeCell ref="A6:D9"/>
    <mergeCell ref="E4:G5"/>
    <mergeCell ref="H4:J5"/>
    <mergeCell ref="E6:G9"/>
    <mergeCell ref="H6:J9"/>
    <mergeCell ref="A17:B18"/>
    <mergeCell ref="C17:D18"/>
    <mergeCell ref="E17:F18"/>
    <mergeCell ref="G17:H18"/>
    <mergeCell ref="A19:B20"/>
    <mergeCell ref="C19:D20"/>
    <mergeCell ref="E19:F20"/>
    <mergeCell ref="G19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BK1029"/>
  <sheetViews>
    <sheetView workbookViewId="0">
      <pane xSplit="5" ySplit="1" topLeftCell="F6" activePane="bottomRight" state="frozen"/>
      <selection pane="topRight"/>
      <selection pane="bottomLeft"/>
      <selection pane="bottomRight" activeCell="T8" sqref="T8"/>
    </sheetView>
  </sheetViews>
  <sheetFormatPr defaultColWidth="8.90625" defaultRowHeight="30" customHeight="1"/>
  <cols>
    <col min="1" max="1" width="4.90625" style="3" customWidth="1"/>
    <col min="2" max="2" width="26.453125" style="31" customWidth="1"/>
    <col min="3" max="3" width="12.81640625" style="7" customWidth="1"/>
    <col min="4" max="4" width="16.90625" style="32" customWidth="1"/>
    <col min="5" max="5" width="27.36328125" style="33" customWidth="1"/>
    <col min="6" max="6" width="9" style="7" customWidth="1"/>
    <col min="7" max="7" width="9.08984375" style="3" customWidth="1"/>
    <col min="8" max="8" width="8.36328125" style="8" customWidth="1"/>
    <col min="9" max="9" width="8.1796875" style="8" customWidth="1"/>
    <col min="10" max="10" width="10.81640625" style="8" customWidth="1"/>
    <col min="11" max="11" width="10.08984375" style="8" customWidth="1"/>
    <col min="12" max="12" width="6" style="8" hidden="1" customWidth="1"/>
    <col min="13" max="14" width="8.08984375" style="8" hidden="1" customWidth="1"/>
    <col min="15" max="15" width="6.6328125" style="3" hidden="1" customWidth="1"/>
    <col min="16" max="16" width="10.08984375" style="9" customWidth="1"/>
    <col min="17" max="18" width="9.81640625" style="9" customWidth="1"/>
    <col min="19" max="19" width="8.90625" style="9" customWidth="1"/>
    <col min="20" max="20" width="9.6328125" style="2" customWidth="1"/>
    <col min="21" max="21" width="1.6328125" style="34" customWidth="1"/>
    <col min="22" max="22" width="12.1796875" style="10" customWidth="1"/>
    <col min="23" max="23" width="9.453125" style="2" customWidth="1"/>
    <col min="24" max="24" width="25.36328125" style="2" customWidth="1"/>
    <col min="25" max="25" width="30.1796875" style="35" customWidth="1"/>
    <col min="26" max="26" width="16" style="2" hidden="1" customWidth="1"/>
    <col min="27" max="34" width="8.90625" style="2" hidden="1" customWidth="1"/>
    <col min="36" max="36" width="8.90625" style="2"/>
    <col min="37" max="37" width="19.54296875" style="4" hidden="1" customWidth="1"/>
    <col min="38" max="16384" width="8.90625" style="2"/>
  </cols>
  <sheetData>
    <row r="1" spans="1:63" s="1" customFormat="1" ht="30" customHeight="1">
      <c r="A1" s="11" t="s">
        <v>13</v>
      </c>
      <c r="B1" s="36" t="s">
        <v>14</v>
      </c>
      <c r="C1" s="11" t="s">
        <v>15</v>
      </c>
      <c r="D1" s="37" t="s">
        <v>15</v>
      </c>
      <c r="E1" s="36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30</v>
      </c>
      <c r="T1" s="11"/>
      <c r="U1" s="56"/>
      <c r="V1" s="11" t="s">
        <v>18</v>
      </c>
      <c r="W1" s="11" t="s">
        <v>17</v>
      </c>
      <c r="X1" s="36" t="s">
        <v>14</v>
      </c>
      <c r="Y1" s="60" t="s">
        <v>31</v>
      </c>
      <c r="Z1" s="11"/>
      <c r="AA1" s="11" t="s">
        <v>32</v>
      </c>
      <c r="AB1" s="11" t="s">
        <v>28</v>
      </c>
      <c r="AC1" s="11" t="s">
        <v>29</v>
      </c>
      <c r="AD1" s="11" t="s">
        <v>33</v>
      </c>
      <c r="AE1" s="11" t="s">
        <v>32</v>
      </c>
      <c r="AF1" s="11" t="s">
        <v>28</v>
      </c>
      <c r="AG1" s="11" t="s">
        <v>29</v>
      </c>
      <c r="AH1" s="11" t="s">
        <v>33</v>
      </c>
      <c r="AI1" s="11"/>
      <c r="AJ1" s="11"/>
      <c r="AK1" s="60" t="s">
        <v>34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</row>
    <row r="2" spans="1:63" ht="30" customHeight="1">
      <c r="A2" s="12">
        <v>1</v>
      </c>
      <c r="B2" s="38" t="s">
        <v>35</v>
      </c>
      <c r="C2" s="12">
        <f t="shared" ref="C2:C65" si="0">YEAR(D2)</f>
        <v>2019</v>
      </c>
      <c r="D2" s="39">
        <v>43466</v>
      </c>
      <c r="E2" s="38" t="s">
        <v>36</v>
      </c>
      <c r="F2" s="12" t="s">
        <v>37</v>
      </c>
      <c r="G2" s="12" t="s">
        <v>38</v>
      </c>
      <c r="H2" s="12">
        <v>2</v>
      </c>
      <c r="I2" s="12">
        <v>2</v>
      </c>
      <c r="J2" s="12"/>
      <c r="K2" s="12" t="str">
        <f t="shared" ref="K2:K14" si="1">IF(H2=I2,"完结",IF(H2&gt;I2,"未完结"))</f>
        <v>完结</v>
      </c>
      <c r="L2" s="12">
        <v>2</v>
      </c>
      <c r="M2" s="12"/>
      <c r="N2" s="12"/>
      <c r="O2" s="12" t="str">
        <f t="shared" ref="O2:O33" si="2">IF(H2=L2,"完",IF(H2&gt;L2,"未"))</f>
        <v>完</v>
      </c>
      <c r="P2" s="12"/>
      <c r="Q2" s="12"/>
      <c r="R2" s="12"/>
      <c r="S2" s="12"/>
      <c r="T2" s="12"/>
      <c r="U2" s="57"/>
      <c r="V2" s="12"/>
      <c r="W2" s="12"/>
      <c r="X2" s="12"/>
      <c r="Y2" s="12"/>
      <c r="Z2" s="12" t="s">
        <v>39</v>
      </c>
      <c r="AA2" s="12" t="s">
        <v>40</v>
      </c>
      <c r="AB2" s="12" t="s">
        <v>41</v>
      </c>
      <c r="AC2" s="12" t="s">
        <v>42</v>
      </c>
      <c r="AD2" s="12" t="s">
        <v>43</v>
      </c>
      <c r="AE2" s="12" t="e">
        <f t="shared" ref="AE2:AE33" si="3">VLOOKUP($E2,$Z$2:$AD$76,2,FALSE)</f>
        <v>#N/A</v>
      </c>
      <c r="AF2" s="12" t="e">
        <f t="shared" ref="AF2:AF33" si="4">VLOOKUP($E2,$Z$2:$AD$76,3,FALSE)</f>
        <v>#N/A</v>
      </c>
      <c r="AG2" s="12" t="e">
        <f t="shared" ref="AG2:AG33" si="5">VLOOKUP($E2,$Z$2:$AD$76,4,FALSE)</f>
        <v>#N/A</v>
      </c>
      <c r="AH2" s="12" t="e">
        <f t="shared" ref="AH2:AH33" si="6">VLOOKUP($E2,$Z$2:$AD$76,5,FALSE)</f>
        <v>#N/A</v>
      </c>
      <c r="AI2" s="12"/>
      <c r="AJ2" s="12"/>
      <c r="AK2" s="12" t="s">
        <v>44</v>
      </c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</row>
    <row r="3" spans="1:63" ht="30" customHeight="1">
      <c r="A3" s="13">
        <v>2</v>
      </c>
      <c r="B3" s="40" t="s">
        <v>45</v>
      </c>
      <c r="C3" s="13">
        <f t="shared" si="0"/>
        <v>2019</v>
      </c>
      <c r="D3" s="41">
        <v>43739</v>
      </c>
      <c r="E3" s="40" t="s">
        <v>46</v>
      </c>
      <c r="F3" s="13" t="s">
        <v>37</v>
      </c>
      <c r="G3" s="13" t="s">
        <v>38</v>
      </c>
      <c r="H3" s="13">
        <v>5</v>
      </c>
      <c r="I3" s="13">
        <v>5</v>
      </c>
      <c r="J3" s="13"/>
      <c r="K3" s="13" t="str">
        <f t="shared" si="1"/>
        <v>完结</v>
      </c>
      <c r="L3" s="13">
        <v>0</v>
      </c>
      <c r="M3" s="13"/>
      <c r="N3" s="13"/>
      <c r="O3" s="13" t="str">
        <f t="shared" si="2"/>
        <v>未</v>
      </c>
      <c r="P3" s="13"/>
      <c r="Q3" s="13"/>
      <c r="R3" s="13"/>
      <c r="S3" s="13"/>
      <c r="T3" s="13"/>
      <c r="U3" s="57"/>
      <c r="V3" s="13" t="s">
        <v>47</v>
      </c>
      <c r="W3" s="13" t="s">
        <v>48</v>
      </c>
      <c r="X3" s="40" t="s">
        <v>49</v>
      </c>
      <c r="Y3" s="48" t="s">
        <v>50</v>
      </c>
      <c r="Z3" s="13" t="s">
        <v>51</v>
      </c>
      <c r="AA3" s="13" t="s">
        <v>40</v>
      </c>
      <c r="AB3" s="13" t="s">
        <v>41</v>
      </c>
      <c r="AC3" s="13" t="s">
        <v>42</v>
      </c>
      <c r="AD3" s="13" t="s">
        <v>43</v>
      </c>
      <c r="AE3" s="13" t="e">
        <f t="shared" si="3"/>
        <v>#N/A</v>
      </c>
      <c r="AF3" s="13" t="e">
        <f t="shared" si="4"/>
        <v>#N/A</v>
      </c>
      <c r="AG3" s="13" t="e">
        <f t="shared" si="5"/>
        <v>#N/A</v>
      </c>
      <c r="AH3" s="13" t="e">
        <f t="shared" si="6"/>
        <v>#N/A</v>
      </c>
      <c r="AI3" s="13"/>
      <c r="AJ3" s="13"/>
      <c r="AK3" s="13" t="s">
        <v>52</v>
      </c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</row>
    <row r="4" spans="1:63" ht="30" customHeight="1">
      <c r="A4" s="12">
        <v>3</v>
      </c>
      <c r="B4" s="38" t="s">
        <v>35</v>
      </c>
      <c r="C4" s="12">
        <f t="shared" si="0"/>
        <v>2019</v>
      </c>
      <c r="D4" s="39">
        <v>43775</v>
      </c>
      <c r="E4" s="38" t="s">
        <v>53</v>
      </c>
      <c r="F4" s="12" t="s">
        <v>54</v>
      </c>
      <c r="G4" s="12" t="s">
        <v>55</v>
      </c>
      <c r="H4" s="12">
        <v>19</v>
      </c>
      <c r="I4" s="12">
        <v>19</v>
      </c>
      <c r="J4" s="12"/>
      <c r="K4" s="12" t="str">
        <f t="shared" si="1"/>
        <v>完结</v>
      </c>
      <c r="L4" s="12">
        <v>19</v>
      </c>
      <c r="M4" s="12"/>
      <c r="N4" s="12"/>
      <c r="O4" s="12" t="str">
        <f t="shared" si="2"/>
        <v>完</v>
      </c>
      <c r="P4" s="12" t="s">
        <v>40</v>
      </c>
      <c r="Q4" s="12" t="s">
        <v>56</v>
      </c>
      <c r="R4" s="12" t="s">
        <v>42</v>
      </c>
      <c r="S4" s="12" t="s">
        <v>43</v>
      </c>
      <c r="T4" s="12"/>
      <c r="U4" s="57"/>
      <c r="V4" s="12" t="s">
        <v>57</v>
      </c>
      <c r="W4" s="12" t="s">
        <v>37</v>
      </c>
      <c r="X4" s="38" t="s">
        <v>58</v>
      </c>
      <c r="Y4" s="12" t="s">
        <v>59</v>
      </c>
      <c r="Z4" s="12" t="s">
        <v>60</v>
      </c>
      <c r="AA4" s="12" t="s">
        <v>40</v>
      </c>
      <c r="AB4" s="12" t="s">
        <v>41</v>
      </c>
      <c r="AC4" s="12" t="s">
        <v>42</v>
      </c>
      <c r="AD4" s="12" t="s">
        <v>43</v>
      </c>
      <c r="AE4" s="12" t="str">
        <f t="shared" si="3"/>
        <v>省版</v>
      </c>
      <c r="AF4" s="12" t="str">
        <f t="shared" si="4"/>
        <v>2025/6/4</v>
      </c>
      <c r="AG4" s="12" t="str">
        <f t="shared" si="5"/>
        <v>2025/7/4</v>
      </c>
      <c r="AH4" s="12" t="str">
        <f t="shared" si="6"/>
        <v>已发证</v>
      </c>
      <c r="AI4" s="12"/>
      <c r="AJ4" s="12"/>
      <c r="AK4" s="12" t="s">
        <v>44</v>
      </c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</row>
    <row r="5" spans="1:63" ht="30" customHeight="1">
      <c r="A5" s="14">
        <v>4</v>
      </c>
      <c r="B5" s="42" t="s">
        <v>61</v>
      </c>
      <c r="C5" s="14">
        <f t="shared" si="0"/>
        <v>2019</v>
      </c>
      <c r="D5" s="43">
        <v>43796</v>
      </c>
      <c r="E5" s="44" t="s">
        <v>62</v>
      </c>
      <c r="F5" s="14" t="s">
        <v>37</v>
      </c>
      <c r="G5" s="14" t="s">
        <v>47</v>
      </c>
      <c r="H5" s="14">
        <v>27</v>
      </c>
      <c r="I5" s="14">
        <v>27</v>
      </c>
      <c r="J5" s="14"/>
      <c r="K5" s="14" t="str">
        <f t="shared" si="1"/>
        <v>完结</v>
      </c>
      <c r="L5" s="14">
        <v>27</v>
      </c>
      <c r="M5" s="14"/>
      <c r="N5" s="14"/>
      <c r="O5" s="14" t="str">
        <f t="shared" si="2"/>
        <v>完</v>
      </c>
      <c r="P5" s="14"/>
      <c r="Q5" s="14"/>
      <c r="R5" s="14"/>
      <c r="S5" s="14"/>
      <c r="T5" s="14"/>
      <c r="U5" s="57"/>
      <c r="V5" s="14" t="s">
        <v>63</v>
      </c>
      <c r="W5" s="12" t="s">
        <v>37</v>
      </c>
      <c r="X5" s="44" t="s">
        <v>64</v>
      </c>
      <c r="Y5" s="54" t="s">
        <v>65</v>
      </c>
      <c r="Z5" s="14" t="s">
        <v>66</v>
      </c>
      <c r="AA5" s="14" t="s">
        <v>40</v>
      </c>
      <c r="AB5" s="14" t="s">
        <v>67</v>
      </c>
      <c r="AC5" s="14"/>
      <c r="AD5" s="14"/>
      <c r="AE5" s="14" t="e">
        <f t="shared" si="3"/>
        <v>#N/A</v>
      </c>
      <c r="AF5" s="14" t="e">
        <f t="shared" si="4"/>
        <v>#N/A</v>
      </c>
      <c r="AG5" s="14" t="e">
        <f t="shared" si="5"/>
        <v>#N/A</v>
      </c>
      <c r="AH5" s="14" t="e">
        <f t="shared" si="6"/>
        <v>#N/A</v>
      </c>
      <c r="AI5" s="14"/>
      <c r="AJ5" s="14"/>
      <c r="AK5" s="14" t="s">
        <v>44</v>
      </c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</row>
    <row r="6" spans="1:63" ht="30" customHeight="1">
      <c r="A6" s="12">
        <v>5</v>
      </c>
      <c r="B6" s="38" t="s">
        <v>64</v>
      </c>
      <c r="C6" s="12">
        <f t="shared" si="0"/>
        <v>2019</v>
      </c>
      <c r="D6" s="39">
        <v>43800</v>
      </c>
      <c r="E6" s="38" t="s">
        <v>68</v>
      </c>
      <c r="F6" s="12" t="s">
        <v>37</v>
      </c>
      <c r="G6" s="12" t="s">
        <v>69</v>
      </c>
      <c r="H6" s="12">
        <v>5</v>
      </c>
      <c r="I6" s="12">
        <v>5</v>
      </c>
      <c r="J6" s="12"/>
      <c r="K6" s="12" t="str">
        <f t="shared" si="1"/>
        <v>完结</v>
      </c>
      <c r="L6" s="12">
        <v>5</v>
      </c>
      <c r="M6" s="12"/>
      <c r="N6" s="12"/>
      <c r="O6" s="12" t="str">
        <f t="shared" si="2"/>
        <v>完</v>
      </c>
      <c r="P6" s="12">
        <v>0</v>
      </c>
      <c r="Q6" s="12" t="s">
        <v>70</v>
      </c>
      <c r="R6" s="12">
        <v>0</v>
      </c>
      <c r="S6" s="12" t="s">
        <v>71</v>
      </c>
      <c r="T6" s="12"/>
      <c r="U6" s="57"/>
      <c r="V6" s="12" t="s">
        <v>72</v>
      </c>
      <c r="W6" s="14" t="s">
        <v>54</v>
      </c>
      <c r="X6" s="38" t="s">
        <v>73</v>
      </c>
      <c r="Y6" s="12" t="s">
        <v>74</v>
      </c>
      <c r="Z6" s="12" t="s">
        <v>75</v>
      </c>
      <c r="AA6" s="12" t="s">
        <v>40</v>
      </c>
      <c r="AB6" s="12" t="s">
        <v>67</v>
      </c>
      <c r="AC6" s="12"/>
      <c r="AD6" s="12"/>
      <c r="AE6" s="12">
        <f t="shared" si="3"/>
        <v>0</v>
      </c>
      <c r="AF6" s="12" t="str">
        <f t="shared" si="4"/>
        <v>2025/5/30</v>
      </c>
      <c r="AG6" s="12">
        <f t="shared" si="5"/>
        <v>0</v>
      </c>
      <c r="AH6" s="12" t="str">
        <f t="shared" si="6"/>
        <v>阶段稿已存证</v>
      </c>
      <c r="AI6" s="12"/>
      <c r="AJ6" s="12"/>
      <c r="AK6" s="12" t="s">
        <v>76</v>
      </c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</row>
    <row r="7" spans="1:63" ht="30" customHeight="1">
      <c r="A7" s="45">
        <v>6</v>
      </c>
      <c r="B7" s="46" t="s">
        <v>77</v>
      </c>
      <c r="C7" s="45">
        <f t="shared" si="0"/>
        <v>2019</v>
      </c>
      <c r="D7" s="47">
        <v>43808</v>
      </c>
      <c r="E7" s="46" t="s">
        <v>78</v>
      </c>
      <c r="F7" s="45" t="s">
        <v>37</v>
      </c>
      <c r="G7" s="45" t="s">
        <v>79</v>
      </c>
      <c r="H7" s="45">
        <v>19</v>
      </c>
      <c r="I7" s="45">
        <v>19</v>
      </c>
      <c r="J7" s="45"/>
      <c r="K7" s="45" t="str">
        <f t="shared" si="1"/>
        <v>完结</v>
      </c>
      <c r="L7" s="45">
        <v>18</v>
      </c>
      <c r="M7" s="45"/>
      <c r="N7" s="45"/>
      <c r="O7" s="45" t="str">
        <f t="shared" si="2"/>
        <v>未</v>
      </c>
      <c r="P7" s="45"/>
      <c r="Q7" s="45"/>
      <c r="R7" s="45"/>
      <c r="S7" s="45"/>
      <c r="T7" s="45"/>
      <c r="U7" s="58"/>
      <c r="V7" s="45" t="s">
        <v>80</v>
      </c>
      <c r="W7" s="12" t="s">
        <v>81</v>
      </c>
      <c r="X7" s="46" t="s">
        <v>82</v>
      </c>
      <c r="Y7" s="46" t="s">
        <v>83</v>
      </c>
      <c r="Z7" s="45" t="s">
        <v>84</v>
      </c>
      <c r="AA7" s="45" t="s">
        <v>40</v>
      </c>
      <c r="AB7" s="45" t="s">
        <v>67</v>
      </c>
      <c r="AC7" s="45"/>
      <c r="AD7" s="45"/>
      <c r="AE7" s="45" t="e">
        <f t="shared" si="3"/>
        <v>#N/A</v>
      </c>
      <c r="AF7" s="45" t="e">
        <f t="shared" si="4"/>
        <v>#N/A</v>
      </c>
      <c r="AG7" s="45" t="e">
        <f t="shared" si="5"/>
        <v>#N/A</v>
      </c>
      <c r="AH7" s="45" t="e">
        <f t="shared" si="6"/>
        <v>#N/A</v>
      </c>
      <c r="AI7" s="45"/>
      <c r="AJ7" s="45"/>
      <c r="AK7" s="45" t="s">
        <v>52</v>
      </c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</row>
    <row r="8" spans="1:63" ht="30" customHeight="1">
      <c r="A8" s="12">
        <v>7</v>
      </c>
      <c r="B8" s="38" t="s">
        <v>73</v>
      </c>
      <c r="C8" s="12">
        <f t="shared" si="0"/>
        <v>2019</v>
      </c>
      <c r="D8" s="39">
        <v>43808</v>
      </c>
      <c r="E8" s="38" t="s">
        <v>85</v>
      </c>
      <c r="F8" s="12" t="s">
        <v>37</v>
      </c>
      <c r="G8" s="12" t="s">
        <v>86</v>
      </c>
      <c r="H8" s="12">
        <v>8</v>
      </c>
      <c r="I8" s="12">
        <v>8</v>
      </c>
      <c r="J8" s="12"/>
      <c r="K8" s="12" t="str">
        <f t="shared" si="1"/>
        <v>完结</v>
      </c>
      <c r="L8" s="12">
        <v>7</v>
      </c>
      <c r="M8" s="12"/>
      <c r="N8" s="12"/>
      <c r="O8" s="12" t="str">
        <f t="shared" si="2"/>
        <v>未</v>
      </c>
      <c r="P8" s="12" t="s">
        <v>40</v>
      </c>
      <c r="Q8" s="12" t="s">
        <v>70</v>
      </c>
      <c r="R8" s="12" t="s">
        <v>87</v>
      </c>
      <c r="S8" s="12" t="s">
        <v>43</v>
      </c>
      <c r="T8" s="12"/>
      <c r="U8" s="57"/>
      <c r="V8" s="12" t="s">
        <v>88</v>
      </c>
      <c r="W8" s="45" t="s">
        <v>89</v>
      </c>
      <c r="X8" s="38" t="s">
        <v>90</v>
      </c>
      <c r="Y8" s="51" t="s">
        <v>91</v>
      </c>
      <c r="Z8" s="12" t="s">
        <v>92</v>
      </c>
      <c r="AA8" s="12" t="s">
        <v>40</v>
      </c>
      <c r="AB8" s="12" t="s">
        <v>67</v>
      </c>
      <c r="AC8" s="12"/>
      <c r="AD8" s="12"/>
      <c r="AE8" s="12" t="str">
        <f t="shared" si="3"/>
        <v>省版</v>
      </c>
      <c r="AF8" s="12" t="str">
        <f t="shared" si="4"/>
        <v>2025/5/30</v>
      </c>
      <c r="AG8" s="12" t="str">
        <f t="shared" si="5"/>
        <v>2025/7/3</v>
      </c>
      <c r="AH8" s="12" t="str">
        <f t="shared" si="6"/>
        <v>已发证</v>
      </c>
      <c r="AI8" s="12"/>
      <c r="AJ8" s="12"/>
      <c r="AK8" s="12" t="s">
        <v>93</v>
      </c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</row>
    <row r="9" spans="1:63" ht="30" customHeight="1">
      <c r="A9" s="13">
        <v>8</v>
      </c>
      <c r="B9" s="40" t="s">
        <v>94</v>
      </c>
      <c r="C9" s="13">
        <f t="shared" si="0"/>
        <v>2019</v>
      </c>
      <c r="D9" s="41">
        <v>43827</v>
      </c>
      <c r="E9" s="40" t="s">
        <v>95</v>
      </c>
      <c r="F9" s="13" t="s">
        <v>37</v>
      </c>
      <c r="G9" s="13" t="s">
        <v>96</v>
      </c>
      <c r="H9" s="13">
        <v>145</v>
      </c>
      <c r="I9" s="13">
        <v>145</v>
      </c>
      <c r="J9" s="13"/>
      <c r="K9" s="13" t="str">
        <f t="shared" si="1"/>
        <v>完结</v>
      </c>
      <c r="L9" s="13">
        <v>0</v>
      </c>
      <c r="M9" s="13"/>
      <c r="N9" s="13"/>
      <c r="O9" s="13" t="str">
        <f t="shared" si="2"/>
        <v>未</v>
      </c>
      <c r="P9" s="13"/>
      <c r="Q9" s="13"/>
      <c r="R9" s="13"/>
      <c r="S9" s="13"/>
      <c r="T9" s="13"/>
      <c r="U9" s="57"/>
      <c r="V9" s="13" t="s">
        <v>55</v>
      </c>
      <c r="W9" s="12" t="s">
        <v>97</v>
      </c>
      <c r="X9" s="40" t="s">
        <v>45</v>
      </c>
      <c r="Y9" s="48" t="s">
        <v>98</v>
      </c>
      <c r="Z9" s="13" t="s">
        <v>99</v>
      </c>
      <c r="AA9" s="13" t="s">
        <v>40</v>
      </c>
      <c r="AB9" s="13" t="s">
        <v>67</v>
      </c>
      <c r="AC9" s="13"/>
      <c r="AD9" s="13"/>
      <c r="AE9" s="13" t="e">
        <f t="shared" si="3"/>
        <v>#N/A</v>
      </c>
      <c r="AF9" s="13" t="e">
        <f t="shared" si="4"/>
        <v>#N/A</v>
      </c>
      <c r="AG9" s="13" t="e">
        <f t="shared" si="5"/>
        <v>#N/A</v>
      </c>
      <c r="AH9" s="13" t="e">
        <f t="shared" si="6"/>
        <v>#N/A</v>
      </c>
      <c r="AI9" s="13"/>
      <c r="AJ9" s="13"/>
      <c r="AK9" s="13" t="s">
        <v>100</v>
      </c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</row>
    <row r="10" spans="1:63" ht="30" customHeight="1">
      <c r="A10" s="12">
        <v>9</v>
      </c>
      <c r="B10" s="38" t="s">
        <v>35</v>
      </c>
      <c r="C10" s="12">
        <f t="shared" si="0"/>
        <v>2019</v>
      </c>
      <c r="D10" s="39">
        <v>43828</v>
      </c>
      <c r="E10" s="38" t="s">
        <v>101</v>
      </c>
      <c r="F10" s="12" t="s">
        <v>37</v>
      </c>
      <c r="G10" s="12" t="s">
        <v>55</v>
      </c>
      <c r="H10" s="12">
        <v>16</v>
      </c>
      <c r="I10" s="12">
        <v>16</v>
      </c>
      <c r="J10" s="12"/>
      <c r="K10" s="12" t="str">
        <f t="shared" si="1"/>
        <v>完结</v>
      </c>
      <c r="L10" s="12">
        <v>16</v>
      </c>
      <c r="M10" s="12"/>
      <c r="N10" s="12"/>
      <c r="O10" s="12" t="str">
        <f t="shared" si="2"/>
        <v>完</v>
      </c>
      <c r="P10" s="12" t="s">
        <v>40</v>
      </c>
      <c r="Q10" s="12" t="s">
        <v>56</v>
      </c>
      <c r="R10" s="12">
        <v>0</v>
      </c>
      <c r="S10" s="12">
        <v>0</v>
      </c>
      <c r="T10" s="12"/>
      <c r="U10" s="57"/>
      <c r="V10" s="12" t="s">
        <v>102</v>
      </c>
      <c r="W10" s="13" t="s">
        <v>10</v>
      </c>
      <c r="X10" s="52" t="s">
        <v>35</v>
      </c>
      <c r="Y10" s="12" t="s">
        <v>103</v>
      </c>
      <c r="Z10" s="12" t="s">
        <v>104</v>
      </c>
      <c r="AA10" s="12" t="s">
        <v>40</v>
      </c>
      <c r="AB10" s="12" t="s">
        <v>67</v>
      </c>
      <c r="AC10" s="12"/>
      <c r="AD10" s="12"/>
      <c r="AE10" s="12" t="str">
        <f t="shared" si="3"/>
        <v>省版</v>
      </c>
      <c r="AF10" s="12" t="str">
        <f t="shared" si="4"/>
        <v>2025/6/4</v>
      </c>
      <c r="AG10" s="12">
        <f t="shared" si="5"/>
        <v>0</v>
      </c>
      <c r="AH10" s="12">
        <f t="shared" si="6"/>
        <v>0</v>
      </c>
      <c r="AI10" s="12"/>
      <c r="AJ10" s="12"/>
      <c r="AK10" s="12" t="s">
        <v>44</v>
      </c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</row>
    <row r="11" spans="1:63" ht="30" customHeight="1">
      <c r="A11" s="14">
        <v>10</v>
      </c>
      <c r="B11" s="44" t="s">
        <v>105</v>
      </c>
      <c r="C11" s="14">
        <f t="shared" si="0"/>
        <v>2020</v>
      </c>
      <c r="D11" s="43">
        <v>43831</v>
      </c>
      <c r="E11" s="44" t="s">
        <v>106</v>
      </c>
      <c r="F11" s="14" t="s">
        <v>107</v>
      </c>
      <c r="G11" s="14" t="s">
        <v>79</v>
      </c>
      <c r="H11" s="14">
        <v>19</v>
      </c>
      <c r="I11" s="14">
        <v>19</v>
      </c>
      <c r="J11" s="14"/>
      <c r="K11" s="14" t="s">
        <v>108</v>
      </c>
      <c r="L11" s="14">
        <v>0</v>
      </c>
      <c r="M11" s="14"/>
      <c r="N11" s="14"/>
      <c r="O11" s="14" t="str">
        <f t="shared" si="2"/>
        <v>未</v>
      </c>
      <c r="P11" s="14"/>
      <c r="Q11" s="14"/>
      <c r="R11" s="14"/>
      <c r="S11" s="14"/>
      <c r="T11" s="14"/>
      <c r="U11" s="57"/>
      <c r="V11" s="14" t="s">
        <v>109</v>
      </c>
      <c r="W11" s="12" t="s">
        <v>11</v>
      </c>
      <c r="X11" s="44" t="s">
        <v>110</v>
      </c>
      <c r="Y11" s="14" t="s">
        <v>111</v>
      </c>
      <c r="Z11" s="14" t="s">
        <v>112</v>
      </c>
      <c r="AA11" s="14" t="s">
        <v>40</v>
      </c>
      <c r="AB11" s="14" t="s">
        <v>67</v>
      </c>
      <c r="AC11" s="14"/>
      <c r="AD11" s="14"/>
      <c r="AE11" s="14" t="e">
        <f t="shared" si="3"/>
        <v>#N/A</v>
      </c>
      <c r="AF11" s="14" t="e">
        <f t="shared" si="4"/>
        <v>#N/A</v>
      </c>
      <c r="AG11" s="14" t="e">
        <f t="shared" si="5"/>
        <v>#N/A</v>
      </c>
      <c r="AH11" s="14" t="e">
        <f t="shared" si="6"/>
        <v>#N/A</v>
      </c>
      <c r="AI11" s="14"/>
      <c r="AJ11" s="14"/>
      <c r="AK11" s="14" t="s">
        <v>113</v>
      </c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</row>
    <row r="12" spans="1:63" ht="30" customHeight="1">
      <c r="A12" s="12">
        <v>11</v>
      </c>
      <c r="B12" s="38" t="s">
        <v>105</v>
      </c>
      <c r="C12" s="12">
        <f t="shared" si="0"/>
        <v>2020</v>
      </c>
      <c r="D12" s="39">
        <v>43860</v>
      </c>
      <c r="E12" s="38" t="s">
        <v>114</v>
      </c>
      <c r="F12" s="12" t="s">
        <v>107</v>
      </c>
      <c r="G12" s="12" t="s">
        <v>79</v>
      </c>
      <c r="H12" s="12">
        <v>16</v>
      </c>
      <c r="I12" s="12">
        <v>16</v>
      </c>
      <c r="J12" s="12"/>
      <c r="K12" s="12" t="s">
        <v>108</v>
      </c>
      <c r="L12" s="12">
        <v>0</v>
      </c>
      <c r="M12" s="12"/>
      <c r="N12" s="12"/>
      <c r="O12" s="12" t="str">
        <f t="shared" si="2"/>
        <v>未</v>
      </c>
      <c r="P12" s="12"/>
      <c r="Q12" s="12"/>
      <c r="R12" s="12"/>
      <c r="S12" s="12"/>
      <c r="T12" s="12"/>
      <c r="U12" s="57"/>
      <c r="V12" s="12" t="s">
        <v>115</v>
      </c>
      <c r="W12" s="12"/>
      <c r="X12" s="38" t="s">
        <v>61</v>
      </c>
      <c r="Y12" s="12" t="s">
        <v>116</v>
      </c>
      <c r="Z12" s="12" t="s">
        <v>117</v>
      </c>
      <c r="AA12" s="12" t="s">
        <v>40</v>
      </c>
      <c r="AB12" s="12" t="s">
        <v>67</v>
      </c>
      <c r="AC12" s="12"/>
      <c r="AD12" s="12"/>
      <c r="AE12" s="12" t="e">
        <f t="shared" si="3"/>
        <v>#N/A</v>
      </c>
      <c r="AF12" s="12" t="e">
        <f t="shared" si="4"/>
        <v>#N/A</v>
      </c>
      <c r="AG12" s="12" t="e">
        <f t="shared" si="5"/>
        <v>#N/A</v>
      </c>
      <c r="AH12" s="12" t="e">
        <f t="shared" si="6"/>
        <v>#N/A</v>
      </c>
      <c r="AI12" s="12"/>
      <c r="AJ12" s="12"/>
      <c r="AK12" s="12" t="s">
        <v>113</v>
      </c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</row>
    <row r="13" spans="1:63" ht="30" customHeight="1">
      <c r="A13" s="45">
        <v>12</v>
      </c>
      <c r="B13" s="46" t="s">
        <v>35</v>
      </c>
      <c r="C13" s="45">
        <f t="shared" si="0"/>
        <v>2020</v>
      </c>
      <c r="D13" s="47">
        <v>43861</v>
      </c>
      <c r="E13" s="46" t="s">
        <v>118</v>
      </c>
      <c r="F13" s="45" t="s">
        <v>37</v>
      </c>
      <c r="G13" s="45" t="s">
        <v>88</v>
      </c>
      <c r="H13" s="45">
        <v>19</v>
      </c>
      <c r="I13" s="45">
        <v>19</v>
      </c>
      <c r="J13" s="45"/>
      <c r="K13" s="45" t="str">
        <f t="shared" si="1"/>
        <v>完结</v>
      </c>
      <c r="L13" s="45">
        <v>19</v>
      </c>
      <c r="M13" s="45"/>
      <c r="N13" s="45"/>
      <c r="O13" s="45" t="str">
        <f t="shared" si="2"/>
        <v>完</v>
      </c>
      <c r="P13" s="45"/>
      <c r="Q13" s="45"/>
      <c r="R13" s="45"/>
      <c r="S13" s="45"/>
      <c r="T13" s="45"/>
      <c r="U13" s="58"/>
      <c r="V13" s="45" t="s">
        <v>119</v>
      </c>
      <c r="W13" s="45"/>
      <c r="X13" s="46" t="s">
        <v>77</v>
      </c>
      <c r="Y13" s="45" t="s">
        <v>120</v>
      </c>
      <c r="Z13" s="45" t="s">
        <v>121</v>
      </c>
      <c r="AA13" s="45" t="s">
        <v>40</v>
      </c>
      <c r="AB13" s="45" t="s">
        <v>67</v>
      </c>
      <c r="AC13" s="45"/>
      <c r="AD13" s="45"/>
      <c r="AE13" s="45" t="e">
        <f t="shared" si="3"/>
        <v>#N/A</v>
      </c>
      <c r="AF13" s="45" t="e">
        <f t="shared" si="4"/>
        <v>#N/A</v>
      </c>
      <c r="AG13" s="45" t="e">
        <f t="shared" si="5"/>
        <v>#N/A</v>
      </c>
      <c r="AH13" s="45" t="e">
        <f t="shared" si="6"/>
        <v>#N/A</v>
      </c>
      <c r="AI13" s="45"/>
      <c r="AJ13" s="45"/>
      <c r="AK13" s="45" t="s">
        <v>44</v>
      </c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</row>
    <row r="14" spans="1:63" ht="30" customHeight="1">
      <c r="A14" s="12">
        <v>13</v>
      </c>
      <c r="B14" s="38" t="s">
        <v>45</v>
      </c>
      <c r="C14" s="12">
        <f t="shared" si="0"/>
        <v>2020</v>
      </c>
      <c r="D14" s="39">
        <v>43862</v>
      </c>
      <c r="E14" s="38" t="s">
        <v>122</v>
      </c>
      <c r="F14" s="12" t="s">
        <v>54</v>
      </c>
      <c r="G14" s="12" t="s">
        <v>109</v>
      </c>
      <c r="H14" s="12">
        <v>8</v>
      </c>
      <c r="I14" s="12">
        <v>8</v>
      </c>
      <c r="J14" s="12"/>
      <c r="K14" s="12" t="str">
        <f t="shared" si="1"/>
        <v>完结</v>
      </c>
      <c r="L14" s="12">
        <v>8</v>
      </c>
      <c r="M14" s="12"/>
      <c r="N14" s="12"/>
      <c r="O14" s="12" t="str">
        <f t="shared" si="2"/>
        <v>完</v>
      </c>
      <c r="P14" s="12"/>
      <c r="Q14" s="12"/>
      <c r="R14" s="12"/>
      <c r="S14" s="12"/>
      <c r="T14" s="12"/>
      <c r="U14" s="57"/>
      <c r="V14" s="12" t="s">
        <v>123</v>
      </c>
      <c r="W14" s="12"/>
      <c r="X14" s="38" t="s">
        <v>124</v>
      </c>
      <c r="Y14" s="51" t="s">
        <v>125</v>
      </c>
      <c r="Z14" s="12" t="s">
        <v>126</v>
      </c>
      <c r="AA14" s="12" t="s">
        <v>40</v>
      </c>
      <c r="AB14" s="12" t="s">
        <v>67</v>
      </c>
      <c r="AC14" s="12"/>
      <c r="AD14" s="12"/>
      <c r="AE14" s="12" t="e">
        <f t="shared" si="3"/>
        <v>#N/A</v>
      </c>
      <c r="AF14" s="12" t="e">
        <f t="shared" si="4"/>
        <v>#N/A</v>
      </c>
      <c r="AG14" s="12" t="e">
        <f t="shared" si="5"/>
        <v>#N/A</v>
      </c>
      <c r="AH14" s="12" t="e">
        <f t="shared" si="6"/>
        <v>#N/A</v>
      </c>
      <c r="AI14" s="12"/>
      <c r="AJ14" s="12"/>
      <c r="AK14" s="12" t="s">
        <v>52</v>
      </c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</row>
    <row r="15" spans="1:63" ht="30" customHeight="1">
      <c r="A15" s="13">
        <v>14</v>
      </c>
      <c r="B15" s="40" t="s">
        <v>105</v>
      </c>
      <c r="C15" s="13">
        <f t="shared" si="0"/>
        <v>2020</v>
      </c>
      <c r="D15" s="41">
        <v>43862</v>
      </c>
      <c r="E15" s="40" t="s">
        <v>127</v>
      </c>
      <c r="F15" s="13" t="s">
        <v>54</v>
      </c>
      <c r="G15" s="13" t="s">
        <v>128</v>
      </c>
      <c r="H15" s="13" t="s">
        <v>129</v>
      </c>
      <c r="I15" s="13">
        <v>19</v>
      </c>
      <c r="J15" s="13"/>
      <c r="K15" s="13" t="str">
        <f>IF(H15=I15,"完结",IF(H15&gt;I15,"下载中"))</f>
        <v>下载中</v>
      </c>
      <c r="L15" s="13">
        <v>15</v>
      </c>
      <c r="M15" s="13"/>
      <c r="N15" s="13"/>
      <c r="O15" s="13" t="str">
        <f t="shared" si="2"/>
        <v>未</v>
      </c>
      <c r="P15" s="13"/>
      <c r="Q15" s="13"/>
      <c r="R15" s="13"/>
      <c r="S15" s="13"/>
      <c r="T15" s="13"/>
      <c r="U15" s="57"/>
      <c r="V15" s="13" t="s">
        <v>79</v>
      </c>
      <c r="W15" s="13"/>
      <c r="X15" s="40" t="s">
        <v>130</v>
      </c>
      <c r="Y15" s="48" t="s">
        <v>131</v>
      </c>
      <c r="Z15" s="13" t="s">
        <v>132</v>
      </c>
      <c r="AA15" s="13" t="s">
        <v>40</v>
      </c>
      <c r="AB15" s="13" t="s">
        <v>67</v>
      </c>
      <c r="AC15" s="13"/>
      <c r="AD15" s="13"/>
      <c r="AE15" s="13" t="e">
        <f t="shared" si="3"/>
        <v>#N/A</v>
      </c>
      <c r="AF15" s="13" t="e">
        <f t="shared" si="4"/>
        <v>#N/A</v>
      </c>
      <c r="AG15" s="13" t="e">
        <f t="shared" si="5"/>
        <v>#N/A</v>
      </c>
      <c r="AH15" s="13" t="e">
        <f t="shared" si="6"/>
        <v>#N/A</v>
      </c>
      <c r="AI15" s="13"/>
      <c r="AJ15" s="13"/>
      <c r="AK15" s="13" t="s">
        <v>113</v>
      </c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</row>
    <row r="16" spans="1:63" ht="30" customHeight="1">
      <c r="A16" s="12">
        <v>15</v>
      </c>
      <c r="B16" s="38" t="s">
        <v>105</v>
      </c>
      <c r="C16" s="12">
        <f t="shared" si="0"/>
        <v>2020</v>
      </c>
      <c r="D16" s="39">
        <v>43864</v>
      </c>
      <c r="E16" s="38" t="s">
        <v>133</v>
      </c>
      <c r="F16" s="12" t="s">
        <v>107</v>
      </c>
      <c r="G16" s="12" t="s">
        <v>79</v>
      </c>
      <c r="H16" s="12">
        <v>4</v>
      </c>
      <c r="I16" s="12">
        <v>4</v>
      </c>
      <c r="J16" s="12"/>
      <c r="K16" s="12" t="s">
        <v>108</v>
      </c>
      <c r="L16" s="12">
        <v>0</v>
      </c>
      <c r="M16" s="12"/>
      <c r="N16" s="12"/>
      <c r="O16" s="12" t="str">
        <f t="shared" si="2"/>
        <v>未</v>
      </c>
      <c r="P16" s="12"/>
      <c r="Q16" s="12"/>
      <c r="R16" s="12"/>
      <c r="S16" s="12"/>
      <c r="T16" s="12"/>
      <c r="U16" s="57"/>
      <c r="V16" s="12" t="s">
        <v>134</v>
      </c>
      <c r="W16" s="12"/>
      <c r="X16" s="38" t="s">
        <v>135</v>
      </c>
      <c r="Y16" s="51" t="s">
        <v>136</v>
      </c>
      <c r="Z16" s="12" t="s">
        <v>137</v>
      </c>
      <c r="AA16" s="12" t="s">
        <v>40</v>
      </c>
      <c r="AB16" s="12" t="s">
        <v>67</v>
      </c>
      <c r="AC16" s="12"/>
      <c r="AD16" s="12"/>
      <c r="AE16" s="12" t="e">
        <f t="shared" si="3"/>
        <v>#N/A</v>
      </c>
      <c r="AF16" s="12" t="e">
        <f t="shared" si="4"/>
        <v>#N/A</v>
      </c>
      <c r="AG16" s="12" t="e">
        <f t="shared" si="5"/>
        <v>#N/A</v>
      </c>
      <c r="AH16" s="12" t="e">
        <f t="shared" si="6"/>
        <v>#N/A</v>
      </c>
      <c r="AI16" s="12"/>
      <c r="AJ16" s="12"/>
      <c r="AK16" s="12" t="s">
        <v>113</v>
      </c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</row>
    <row r="17" spans="1:63" ht="30" customHeight="1">
      <c r="A17" s="14">
        <v>16</v>
      </c>
      <c r="B17" s="44" t="s">
        <v>138</v>
      </c>
      <c r="C17" s="14">
        <f t="shared" si="0"/>
        <v>2020</v>
      </c>
      <c r="D17" s="43">
        <v>43864</v>
      </c>
      <c r="E17" s="44" t="s">
        <v>139</v>
      </c>
      <c r="F17" s="14" t="s">
        <v>107</v>
      </c>
      <c r="G17" s="14" t="s">
        <v>79</v>
      </c>
      <c r="H17" s="14">
        <v>1</v>
      </c>
      <c r="I17" s="14">
        <v>1</v>
      </c>
      <c r="J17" s="14"/>
      <c r="K17" s="14" t="s">
        <v>140</v>
      </c>
      <c r="L17" s="14">
        <v>0</v>
      </c>
      <c r="M17" s="14"/>
      <c r="N17" s="14"/>
      <c r="O17" s="14" t="str">
        <f t="shared" si="2"/>
        <v>未</v>
      </c>
      <c r="P17" s="14"/>
      <c r="Q17" s="14"/>
      <c r="R17" s="14"/>
      <c r="S17" s="14"/>
      <c r="T17" s="14"/>
      <c r="U17" s="57"/>
      <c r="V17" s="14" t="s">
        <v>96</v>
      </c>
      <c r="W17" s="14"/>
      <c r="X17" s="44" t="s">
        <v>141</v>
      </c>
      <c r="Y17" s="14"/>
      <c r="Z17" s="14" t="s">
        <v>142</v>
      </c>
      <c r="AA17" s="14" t="s">
        <v>40</v>
      </c>
      <c r="AB17" s="14" t="s">
        <v>67</v>
      </c>
      <c r="AC17" s="14"/>
      <c r="AD17" s="14"/>
      <c r="AE17" s="14" t="e">
        <f t="shared" si="3"/>
        <v>#N/A</v>
      </c>
      <c r="AF17" s="14" t="e">
        <f t="shared" si="4"/>
        <v>#N/A</v>
      </c>
      <c r="AG17" s="14" t="e">
        <f t="shared" si="5"/>
        <v>#N/A</v>
      </c>
      <c r="AH17" s="14" t="e">
        <f t="shared" si="6"/>
        <v>#N/A</v>
      </c>
      <c r="AI17" s="14"/>
      <c r="AJ17" s="14"/>
      <c r="AK17" s="14" t="s">
        <v>143</v>
      </c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</row>
    <row r="18" spans="1:63" ht="30" customHeight="1">
      <c r="A18" s="12">
        <v>17</v>
      </c>
      <c r="B18" s="38" t="s">
        <v>35</v>
      </c>
      <c r="C18" s="12">
        <f t="shared" si="0"/>
        <v>2020</v>
      </c>
      <c r="D18" s="39">
        <v>43869</v>
      </c>
      <c r="E18" s="38" t="s">
        <v>144</v>
      </c>
      <c r="F18" s="12" t="s">
        <v>37</v>
      </c>
      <c r="G18" s="12" t="s">
        <v>145</v>
      </c>
      <c r="H18" s="12">
        <v>27</v>
      </c>
      <c r="I18" s="12">
        <v>27</v>
      </c>
      <c r="J18" s="12"/>
      <c r="K18" s="12" t="str">
        <f t="shared" ref="K18:K37" si="7">IF(H18=I18,"完结",IF(H18&gt;I18,"未完结"))</f>
        <v>完结</v>
      </c>
      <c r="L18" s="12">
        <v>27</v>
      </c>
      <c r="M18" s="12"/>
      <c r="N18" s="12"/>
      <c r="O18" s="12" t="str">
        <f t="shared" si="2"/>
        <v>完</v>
      </c>
      <c r="P18" s="12"/>
      <c r="Q18" s="12"/>
      <c r="R18" s="12"/>
      <c r="S18" s="12"/>
      <c r="T18" s="12"/>
      <c r="U18" s="57"/>
      <c r="V18" s="12" t="s">
        <v>145</v>
      </c>
      <c r="W18" s="12"/>
      <c r="X18" s="38" t="s">
        <v>94</v>
      </c>
      <c r="Y18" s="12"/>
      <c r="Z18" s="12" t="s">
        <v>146</v>
      </c>
      <c r="AA18" s="12" t="s">
        <v>40</v>
      </c>
      <c r="AB18" s="12" t="s">
        <v>67</v>
      </c>
      <c r="AC18" s="12"/>
      <c r="AD18" s="12"/>
      <c r="AE18" s="12" t="e">
        <f t="shared" si="3"/>
        <v>#N/A</v>
      </c>
      <c r="AF18" s="12" t="e">
        <f t="shared" si="4"/>
        <v>#N/A</v>
      </c>
      <c r="AG18" s="12" t="e">
        <f t="shared" si="5"/>
        <v>#N/A</v>
      </c>
      <c r="AH18" s="12" t="e">
        <f t="shared" si="6"/>
        <v>#N/A</v>
      </c>
      <c r="AI18" s="12"/>
      <c r="AJ18" s="12"/>
      <c r="AK18" s="12" t="s">
        <v>44</v>
      </c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</row>
    <row r="19" spans="1:63" ht="30" customHeight="1">
      <c r="A19" s="45">
        <v>18</v>
      </c>
      <c r="B19" s="46" t="s">
        <v>105</v>
      </c>
      <c r="C19" s="45">
        <f t="shared" si="0"/>
        <v>2020</v>
      </c>
      <c r="D19" s="47">
        <v>43882</v>
      </c>
      <c r="E19" s="46" t="s">
        <v>147</v>
      </c>
      <c r="F19" s="45" t="s">
        <v>48</v>
      </c>
      <c r="G19" s="45" t="s">
        <v>88</v>
      </c>
      <c r="H19" s="45">
        <v>10</v>
      </c>
      <c r="I19" s="45">
        <v>10</v>
      </c>
      <c r="J19" s="45"/>
      <c r="K19" s="45" t="str">
        <f t="shared" si="7"/>
        <v>完结</v>
      </c>
      <c r="L19" s="45">
        <v>10</v>
      </c>
      <c r="M19" s="45"/>
      <c r="N19" s="45"/>
      <c r="O19" s="45" t="str">
        <f t="shared" si="2"/>
        <v>完</v>
      </c>
      <c r="P19" s="45"/>
      <c r="Q19" s="45"/>
      <c r="R19" s="45"/>
      <c r="S19" s="45"/>
      <c r="T19" s="45"/>
      <c r="U19" s="58"/>
      <c r="V19" s="45" t="s">
        <v>148</v>
      </c>
      <c r="W19" s="45"/>
      <c r="X19" s="46" t="s">
        <v>105</v>
      </c>
      <c r="Y19" s="45"/>
      <c r="Z19" s="45" t="s">
        <v>149</v>
      </c>
      <c r="AA19" s="45" t="s">
        <v>40</v>
      </c>
      <c r="AB19" s="45" t="s">
        <v>67</v>
      </c>
      <c r="AC19" s="45"/>
      <c r="AD19" s="45"/>
      <c r="AE19" s="45" t="e">
        <f t="shared" si="3"/>
        <v>#N/A</v>
      </c>
      <c r="AF19" s="45" t="e">
        <f t="shared" si="4"/>
        <v>#N/A</v>
      </c>
      <c r="AG19" s="45" t="e">
        <f t="shared" si="5"/>
        <v>#N/A</v>
      </c>
      <c r="AH19" s="45" t="e">
        <f t="shared" si="6"/>
        <v>#N/A</v>
      </c>
      <c r="AI19" s="45"/>
      <c r="AJ19" s="45"/>
      <c r="AK19" s="45" t="s">
        <v>113</v>
      </c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</row>
    <row r="20" spans="1:63" ht="30" customHeight="1">
      <c r="A20" s="12">
        <v>19</v>
      </c>
      <c r="B20" s="38" t="s">
        <v>35</v>
      </c>
      <c r="C20" s="12">
        <f t="shared" si="0"/>
        <v>2020</v>
      </c>
      <c r="D20" s="39">
        <v>43883</v>
      </c>
      <c r="E20" s="38" t="s">
        <v>150</v>
      </c>
      <c r="F20" s="12" t="s">
        <v>37</v>
      </c>
      <c r="G20" s="12" t="s">
        <v>88</v>
      </c>
      <c r="H20" s="12">
        <v>10</v>
      </c>
      <c r="I20" s="12">
        <v>10</v>
      </c>
      <c r="J20" s="12"/>
      <c r="K20" s="12" t="str">
        <f t="shared" si="7"/>
        <v>完结</v>
      </c>
      <c r="L20" s="12">
        <v>10</v>
      </c>
      <c r="M20" s="12"/>
      <c r="N20" s="12"/>
      <c r="O20" s="12" t="str">
        <f t="shared" si="2"/>
        <v>完</v>
      </c>
      <c r="P20" s="12"/>
      <c r="Q20" s="12"/>
      <c r="R20" s="12"/>
      <c r="S20" s="12"/>
      <c r="T20" s="12"/>
      <c r="U20" s="57"/>
      <c r="V20" s="12" t="s">
        <v>38</v>
      </c>
      <c r="W20" s="12"/>
      <c r="X20" s="38" t="s">
        <v>151</v>
      </c>
      <c r="Y20" s="12"/>
      <c r="Z20" s="12" t="s">
        <v>152</v>
      </c>
      <c r="AA20" s="12" t="s">
        <v>40</v>
      </c>
      <c r="AB20" s="12" t="s">
        <v>67</v>
      </c>
      <c r="AC20" s="12"/>
      <c r="AD20" s="12"/>
      <c r="AE20" s="12" t="e">
        <f t="shared" si="3"/>
        <v>#N/A</v>
      </c>
      <c r="AF20" s="12" t="e">
        <f t="shared" si="4"/>
        <v>#N/A</v>
      </c>
      <c r="AG20" s="12" t="e">
        <f t="shared" si="5"/>
        <v>#N/A</v>
      </c>
      <c r="AH20" s="12" t="e">
        <f t="shared" si="6"/>
        <v>#N/A</v>
      </c>
      <c r="AI20" s="12"/>
      <c r="AJ20" s="12"/>
      <c r="AK20" s="12" t="s">
        <v>44</v>
      </c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</row>
    <row r="21" spans="1:63" ht="30" customHeight="1">
      <c r="A21" s="13">
        <v>20</v>
      </c>
      <c r="B21" s="40" t="s">
        <v>45</v>
      </c>
      <c r="C21" s="13">
        <f t="shared" si="0"/>
        <v>2020</v>
      </c>
      <c r="D21" s="41">
        <v>43885</v>
      </c>
      <c r="E21" s="40" t="s">
        <v>153</v>
      </c>
      <c r="F21" s="13" t="s">
        <v>54</v>
      </c>
      <c r="G21" s="13" t="s">
        <v>109</v>
      </c>
      <c r="H21" s="13">
        <f>12+8+5+2+8</f>
        <v>35</v>
      </c>
      <c r="I21" s="13">
        <f>12+8+5+2</f>
        <v>27</v>
      </c>
      <c r="J21" s="13"/>
      <c r="K21" s="13" t="str">
        <f>IF(H21=I21,"完结",IF(H21&gt;I21,"下载中"))</f>
        <v>下载中</v>
      </c>
      <c r="L21" s="13">
        <v>20</v>
      </c>
      <c r="M21" s="13"/>
      <c r="N21" s="13"/>
      <c r="O21" s="13" t="str">
        <f t="shared" si="2"/>
        <v>未</v>
      </c>
      <c r="P21" s="13"/>
      <c r="Q21" s="13"/>
      <c r="R21" s="13"/>
      <c r="S21" s="13"/>
      <c r="T21" s="13"/>
      <c r="U21" s="57"/>
      <c r="V21" s="13" t="s">
        <v>154</v>
      </c>
      <c r="W21" s="13"/>
      <c r="X21" s="40" t="s">
        <v>138</v>
      </c>
      <c r="Y21" s="13"/>
      <c r="Z21" s="13" t="s">
        <v>101</v>
      </c>
      <c r="AA21" s="13" t="s">
        <v>40</v>
      </c>
      <c r="AB21" s="13" t="s">
        <v>56</v>
      </c>
      <c r="AC21" s="13"/>
      <c r="AD21" s="13"/>
      <c r="AE21" s="13" t="e">
        <f t="shared" si="3"/>
        <v>#N/A</v>
      </c>
      <c r="AF21" s="13" t="e">
        <f t="shared" si="4"/>
        <v>#N/A</v>
      </c>
      <c r="AG21" s="13" t="e">
        <f t="shared" si="5"/>
        <v>#N/A</v>
      </c>
      <c r="AH21" s="13" t="e">
        <f t="shared" si="6"/>
        <v>#N/A</v>
      </c>
      <c r="AI21" s="13"/>
      <c r="AJ21" s="13"/>
      <c r="AK21" s="13" t="s">
        <v>52</v>
      </c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</row>
    <row r="22" spans="1:63" ht="30" customHeight="1">
      <c r="A22" s="12">
        <v>21</v>
      </c>
      <c r="B22" s="38" t="s">
        <v>105</v>
      </c>
      <c r="C22" s="12">
        <f t="shared" si="0"/>
        <v>2020</v>
      </c>
      <c r="D22" s="39">
        <v>43892</v>
      </c>
      <c r="E22" s="38" t="s">
        <v>155</v>
      </c>
      <c r="F22" s="12" t="s">
        <v>37</v>
      </c>
      <c r="G22" s="12" t="s">
        <v>156</v>
      </c>
      <c r="H22" s="12">
        <v>24</v>
      </c>
      <c r="I22" s="12">
        <v>24</v>
      </c>
      <c r="J22" s="12"/>
      <c r="K22" s="12" t="str">
        <f t="shared" si="7"/>
        <v>完结</v>
      </c>
      <c r="L22" s="12">
        <v>24</v>
      </c>
      <c r="M22" s="12"/>
      <c r="N22" s="12"/>
      <c r="O22" s="12" t="str">
        <f t="shared" si="2"/>
        <v>完</v>
      </c>
      <c r="P22" s="12"/>
      <c r="Q22" s="12"/>
      <c r="R22" s="12"/>
      <c r="S22" s="12"/>
      <c r="T22" s="12"/>
      <c r="U22" s="57"/>
      <c r="V22" s="12" t="s">
        <v>157</v>
      </c>
      <c r="W22" s="12"/>
      <c r="X22" s="38" t="s">
        <v>158</v>
      </c>
      <c r="Y22" s="12"/>
      <c r="Z22" s="12" t="s">
        <v>53</v>
      </c>
      <c r="AA22" s="12" t="s">
        <v>40</v>
      </c>
      <c r="AB22" s="12" t="s">
        <v>56</v>
      </c>
      <c r="AC22" s="12" t="s">
        <v>42</v>
      </c>
      <c r="AD22" s="12" t="s">
        <v>43</v>
      </c>
      <c r="AE22" s="12" t="e">
        <f t="shared" si="3"/>
        <v>#N/A</v>
      </c>
      <c r="AF22" s="12" t="e">
        <f t="shared" si="4"/>
        <v>#N/A</v>
      </c>
      <c r="AG22" s="12" t="e">
        <f t="shared" si="5"/>
        <v>#N/A</v>
      </c>
      <c r="AH22" s="12" t="e">
        <f t="shared" si="6"/>
        <v>#N/A</v>
      </c>
      <c r="AI22" s="12"/>
      <c r="AJ22" s="12"/>
      <c r="AK22" s="12" t="s">
        <v>113</v>
      </c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</row>
    <row r="23" spans="1:63" ht="30" customHeight="1">
      <c r="A23" s="14">
        <v>22</v>
      </c>
      <c r="B23" s="44" t="s">
        <v>35</v>
      </c>
      <c r="C23" s="14">
        <f t="shared" si="0"/>
        <v>2020</v>
      </c>
      <c r="D23" s="43">
        <v>43907</v>
      </c>
      <c r="E23" s="44" t="s">
        <v>159</v>
      </c>
      <c r="F23" s="14" t="s">
        <v>37</v>
      </c>
      <c r="G23" s="14" t="s">
        <v>88</v>
      </c>
      <c r="H23" s="14">
        <v>20</v>
      </c>
      <c r="I23" s="14">
        <v>20</v>
      </c>
      <c r="J23" s="14"/>
      <c r="K23" s="14" t="str">
        <f t="shared" si="7"/>
        <v>完结</v>
      </c>
      <c r="L23" s="14">
        <v>20</v>
      </c>
      <c r="M23" s="14"/>
      <c r="N23" s="14"/>
      <c r="O23" s="14" t="str">
        <f t="shared" si="2"/>
        <v>完</v>
      </c>
      <c r="P23" s="14" t="s">
        <v>40</v>
      </c>
      <c r="Q23" s="14" t="s">
        <v>56</v>
      </c>
      <c r="R23" s="14" t="s">
        <v>42</v>
      </c>
      <c r="S23" s="14" t="s">
        <v>43</v>
      </c>
      <c r="T23" s="14"/>
      <c r="U23" s="57"/>
      <c r="V23" s="14" t="s">
        <v>160</v>
      </c>
      <c r="W23" s="14"/>
      <c r="X23" s="44" t="s">
        <v>161</v>
      </c>
      <c r="Y23" s="14"/>
      <c r="Z23" s="14" t="s">
        <v>159</v>
      </c>
      <c r="AA23" s="14" t="s">
        <v>40</v>
      </c>
      <c r="AB23" s="14" t="s">
        <v>56</v>
      </c>
      <c r="AC23" s="14" t="s">
        <v>42</v>
      </c>
      <c r="AD23" s="14" t="s">
        <v>43</v>
      </c>
      <c r="AE23" s="14" t="str">
        <f t="shared" si="3"/>
        <v>省版</v>
      </c>
      <c r="AF23" s="14" t="str">
        <f t="shared" si="4"/>
        <v>2025/6/4</v>
      </c>
      <c r="AG23" s="14" t="str">
        <f t="shared" si="5"/>
        <v>2025/7/4</v>
      </c>
      <c r="AH23" s="14" t="str">
        <f t="shared" si="6"/>
        <v>已发证</v>
      </c>
      <c r="AI23" s="14"/>
      <c r="AJ23" s="14"/>
      <c r="AK23" s="14" t="s">
        <v>44</v>
      </c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</row>
    <row r="24" spans="1:63" ht="30" customHeight="1">
      <c r="A24" s="12">
        <v>23</v>
      </c>
      <c r="B24" s="38" t="s">
        <v>35</v>
      </c>
      <c r="C24" s="12">
        <f t="shared" si="0"/>
        <v>2020</v>
      </c>
      <c r="D24" s="39">
        <v>43951</v>
      </c>
      <c r="E24" s="38" t="s">
        <v>162</v>
      </c>
      <c r="F24" s="12" t="s">
        <v>37</v>
      </c>
      <c r="G24" s="12" t="s">
        <v>88</v>
      </c>
      <c r="H24" s="12">
        <v>10</v>
      </c>
      <c r="I24" s="12">
        <v>10</v>
      </c>
      <c r="J24" s="12"/>
      <c r="K24" s="12" t="str">
        <f t="shared" si="7"/>
        <v>完结</v>
      </c>
      <c r="L24" s="12">
        <v>10</v>
      </c>
      <c r="M24" s="12"/>
      <c r="N24" s="12"/>
      <c r="O24" s="12" t="str">
        <f t="shared" si="2"/>
        <v>完</v>
      </c>
      <c r="P24" s="12"/>
      <c r="Q24" s="12"/>
      <c r="R24" s="12"/>
      <c r="S24" s="12"/>
      <c r="T24" s="12"/>
      <c r="U24" s="57"/>
      <c r="V24" s="12" t="s">
        <v>163</v>
      </c>
      <c r="W24" s="12"/>
      <c r="X24" s="38" t="s">
        <v>164</v>
      </c>
      <c r="Y24" s="12"/>
      <c r="Z24" s="12" t="s">
        <v>165</v>
      </c>
      <c r="AA24" s="12" t="s">
        <v>166</v>
      </c>
      <c r="AB24" s="12" t="s">
        <v>167</v>
      </c>
      <c r="AC24" s="12" t="s">
        <v>168</v>
      </c>
      <c r="AD24" s="12" t="s">
        <v>43</v>
      </c>
      <c r="AE24" s="12" t="e">
        <f t="shared" si="3"/>
        <v>#N/A</v>
      </c>
      <c r="AF24" s="12" t="e">
        <f t="shared" si="4"/>
        <v>#N/A</v>
      </c>
      <c r="AG24" s="12" t="e">
        <f t="shared" si="5"/>
        <v>#N/A</v>
      </c>
      <c r="AH24" s="12" t="e">
        <f t="shared" si="6"/>
        <v>#N/A</v>
      </c>
      <c r="AI24" s="12"/>
      <c r="AJ24" s="12"/>
      <c r="AK24" s="12" t="s">
        <v>44</v>
      </c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</row>
    <row r="25" spans="1:63" ht="30" customHeight="1">
      <c r="A25" s="45">
        <v>24</v>
      </c>
      <c r="B25" s="46" t="s">
        <v>35</v>
      </c>
      <c r="C25" s="45">
        <f t="shared" si="0"/>
        <v>2020</v>
      </c>
      <c r="D25" s="47">
        <v>43966</v>
      </c>
      <c r="E25" s="46" t="s">
        <v>169</v>
      </c>
      <c r="F25" s="45" t="s">
        <v>37</v>
      </c>
      <c r="G25" s="45" t="s">
        <v>72</v>
      </c>
      <c r="H25" s="45">
        <v>9</v>
      </c>
      <c r="I25" s="45">
        <v>9</v>
      </c>
      <c r="J25" s="45"/>
      <c r="K25" s="45" t="str">
        <f t="shared" si="7"/>
        <v>完结</v>
      </c>
      <c r="L25" s="45">
        <v>9</v>
      </c>
      <c r="M25" s="45"/>
      <c r="N25" s="45"/>
      <c r="O25" s="45" t="str">
        <f t="shared" si="2"/>
        <v>完</v>
      </c>
      <c r="P25" s="45"/>
      <c r="Q25" s="45"/>
      <c r="R25" s="45"/>
      <c r="S25" s="45"/>
      <c r="T25" s="45"/>
      <c r="U25" s="58"/>
      <c r="V25" s="45" t="s">
        <v>128</v>
      </c>
      <c r="W25" s="45"/>
      <c r="X25" s="46" t="s">
        <v>170</v>
      </c>
      <c r="Y25" s="45"/>
      <c r="Z25" s="45" t="s">
        <v>171</v>
      </c>
      <c r="AA25" s="45" t="s">
        <v>166</v>
      </c>
      <c r="AB25" s="45" t="s">
        <v>172</v>
      </c>
      <c r="AC25" s="45" t="s">
        <v>173</v>
      </c>
      <c r="AD25" s="45" t="s">
        <v>43</v>
      </c>
      <c r="AE25" s="45" t="e">
        <f t="shared" si="3"/>
        <v>#N/A</v>
      </c>
      <c r="AF25" s="45" t="e">
        <f t="shared" si="4"/>
        <v>#N/A</v>
      </c>
      <c r="AG25" s="45" t="e">
        <f t="shared" si="5"/>
        <v>#N/A</v>
      </c>
      <c r="AH25" s="45" t="e">
        <f t="shared" si="6"/>
        <v>#N/A</v>
      </c>
      <c r="AI25" s="45"/>
      <c r="AJ25" s="45"/>
      <c r="AK25" s="45" t="s">
        <v>44</v>
      </c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</row>
    <row r="26" spans="1:63" ht="30" customHeight="1">
      <c r="A26" s="12">
        <v>25</v>
      </c>
      <c r="B26" s="38" t="s">
        <v>151</v>
      </c>
      <c r="C26" s="12">
        <f t="shared" si="0"/>
        <v>2020</v>
      </c>
      <c r="D26" s="39">
        <v>43979</v>
      </c>
      <c r="E26" s="38" t="s">
        <v>174</v>
      </c>
      <c r="F26" s="12" t="s">
        <v>54</v>
      </c>
      <c r="G26" s="12" t="s">
        <v>145</v>
      </c>
      <c r="H26" s="12">
        <v>4</v>
      </c>
      <c r="I26" s="12">
        <v>4</v>
      </c>
      <c r="J26" s="12"/>
      <c r="K26" s="12" t="str">
        <f t="shared" si="7"/>
        <v>完结</v>
      </c>
      <c r="L26" s="12">
        <v>0</v>
      </c>
      <c r="M26" s="12"/>
      <c r="N26" s="12"/>
      <c r="O26" s="12" t="str">
        <f t="shared" si="2"/>
        <v>未</v>
      </c>
      <c r="P26" s="12"/>
      <c r="Q26" s="12"/>
      <c r="R26" s="12"/>
      <c r="S26" s="12"/>
      <c r="T26" s="12"/>
      <c r="U26" s="57"/>
      <c r="V26" s="12" t="s">
        <v>69</v>
      </c>
      <c r="W26" s="12"/>
      <c r="X26" s="12"/>
      <c r="Y26" s="12"/>
      <c r="Z26" s="12" t="s">
        <v>175</v>
      </c>
      <c r="AA26" s="12" t="s">
        <v>166</v>
      </c>
      <c r="AB26" s="12" t="s">
        <v>173</v>
      </c>
      <c r="AC26" s="12" t="s">
        <v>173</v>
      </c>
      <c r="AD26" s="12" t="s">
        <v>43</v>
      </c>
      <c r="AE26" s="12" t="e">
        <f t="shared" si="3"/>
        <v>#N/A</v>
      </c>
      <c r="AF26" s="12" t="e">
        <f t="shared" si="4"/>
        <v>#N/A</v>
      </c>
      <c r="AG26" s="12" t="e">
        <f t="shared" si="5"/>
        <v>#N/A</v>
      </c>
      <c r="AH26" s="12" t="e">
        <f t="shared" si="6"/>
        <v>#N/A</v>
      </c>
      <c r="AI26" s="12"/>
      <c r="AJ26" s="12"/>
      <c r="AK26" s="12" t="s">
        <v>176</v>
      </c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</row>
    <row r="27" spans="1:63" ht="30" customHeight="1">
      <c r="A27" s="48">
        <v>26</v>
      </c>
      <c r="B27" s="49" t="s">
        <v>73</v>
      </c>
      <c r="C27" s="48">
        <f t="shared" si="0"/>
        <v>2020</v>
      </c>
      <c r="D27" s="50">
        <v>43983</v>
      </c>
      <c r="E27" s="49" t="s">
        <v>171</v>
      </c>
      <c r="F27" s="48" t="s">
        <v>37</v>
      </c>
      <c r="G27" s="48" t="s">
        <v>109</v>
      </c>
      <c r="H27" s="48">
        <v>14</v>
      </c>
      <c r="I27" s="48">
        <v>13</v>
      </c>
      <c r="J27" s="48"/>
      <c r="K27" s="48" t="str">
        <f>IF(H27=I27,"完结",IF(H27&gt;I27,"下载中"))</f>
        <v>下载中</v>
      </c>
      <c r="L27" s="48">
        <v>13</v>
      </c>
      <c r="M27" s="48"/>
      <c r="N27" s="48"/>
      <c r="O27" s="48" t="str">
        <f t="shared" si="2"/>
        <v>未</v>
      </c>
      <c r="P27" s="48" t="s">
        <v>166</v>
      </c>
      <c r="Q27" s="48" t="s">
        <v>172</v>
      </c>
      <c r="R27" s="48" t="s">
        <v>173</v>
      </c>
      <c r="S27" s="48" t="s">
        <v>43</v>
      </c>
      <c r="T27" s="48"/>
      <c r="U27" s="59"/>
      <c r="V27" s="48" t="s">
        <v>86</v>
      </c>
      <c r="W27" s="48"/>
      <c r="X27" s="48"/>
      <c r="Y27" s="48"/>
      <c r="Z27" s="48" t="s">
        <v>177</v>
      </c>
      <c r="AA27" s="48" t="s">
        <v>166</v>
      </c>
      <c r="AB27" s="48" t="s">
        <v>173</v>
      </c>
      <c r="AC27" s="48" t="s">
        <v>173</v>
      </c>
      <c r="AD27" s="48" t="s">
        <v>43</v>
      </c>
      <c r="AE27" s="48" t="str">
        <f t="shared" si="3"/>
        <v>国版</v>
      </c>
      <c r="AF27" s="48" t="str">
        <f t="shared" si="4"/>
        <v>2025/5/27</v>
      </c>
      <c r="AG27" s="48" t="str">
        <f t="shared" si="5"/>
        <v>2025/5/28</v>
      </c>
      <c r="AH27" s="48" t="str">
        <f t="shared" si="6"/>
        <v>已发证</v>
      </c>
      <c r="AI27" s="48"/>
      <c r="AJ27" s="48"/>
      <c r="AK27" s="48" t="s">
        <v>93</v>
      </c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</row>
    <row r="28" spans="1:63" ht="30" customHeight="1">
      <c r="A28" s="51">
        <v>27</v>
      </c>
      <c r="B28" s="52" t="s">
        <v>58</v>
      </c>
      <c r="C28" s="51">
        <f t="shared" si="0"/>
        <v>2020</v>
      </c>
      <c r="D28" s="53">
        <v>43987</v>
      </c>
      <c r="E28" s="52" t="s">
        <v>178</v>
      </c>
      <c r="F28" s="51" t="s">
        <v>37</v>
      </c>
      <c r="G28" s="51" t="s">
        <v>72</v>
      </c>
      <c r="H28" s="51">
        <v>10</v>
      </c>
      <c r="I28" s="51">
        <v>10</v>
      </c>
      <c r="J28" s="51"/>
      <c r="K28" s="51" t="str">
        <f t="shared" si="7"/>
        <v>完结</v>
      </c>
      <c r="L28" s="51">
        <v>10</v>
      </c>
      <c r="M28" s="51"/>
      <c r="N28" s="51"/>
      <c r="O28" s="51" t="str">
        <f t="shared" si="2"/>
        <v>完</v>
      </c>
      <c r="P28" s="51" t="s">
        <v>166</v>
      </c>
      <c r="Q28" s="51" t="s">
        <v>173</v>
      </c>
      <c r="R28" s="51" t="s">
        <v>173</v>
      </c>
      <c r="S28" s="51" t="s">
        <v>43</v>
      </c>
      <c r="T28" s="51"/>
      <c r="U28" s="59"/>
      <c r="V28" s="51" t="s">
        <v>179</v>
      </c>
      <c r="W28" s="51"/>
      <c r="X28" s="51"/>
      <c r="Y28" s="51"/>
      <c r="Z28" s="51" t="s">
        <v>180</v>
      </c>
      <c r="AA28" s="51" t="s">
        <v>40</v>
      </c>
      <c r="AB28" s="51" t="s">
        <v>181</v>
      </c>
      <c r="AC28" s="51" t="s">
        <v>87</v>
      </c>
      <c r="AD28" s="51" t="s">
        <v>43</v>
      </c>
      <c r="AE28" s="51" t="str">
        <f t="shared" si="3"/>
        <v>国版</v>
      </c>
      <c r="AF28" s="51" t="str">
        <f t="shared" si="4"/>
        <v>2025/5/28</v>
      </c>
      <c r="AG28" s="51" t="str">
        <f t="shared" si="5"/>
        <v>2025/5/28</v>
      </c>
      <c r="AH28" s="51" t="str">
        <f t="shared" si="6"/>
        <v>已发证</v>
      </c>
      <c r="AI28" s="51"/>
      <c r="AJ28" s="51"/>
      <c r="AK28" s="51" t="s">
        <v>76</v>
      </c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</row>
    <row r="29" spans="1:63" ht="30" customHeight="1">
      <c r="A29" s="54">
        <v>28</v>
      </c>
      <c r="B29" s="42" t="s">
        <v>58</v>
      </c>
      <c r="C29" s="54">
        <f t="shared" si="0"/>
        <v>2020</v>
      </c>
      <c r="D29" s="55">
        <v>43998</v>
      </c>
      <c r="E29" s="42" t="s">
        <v>182</v>
      </c>
      <c r="F29" s="54" t="s">
        <v>37</v>
      </c>
      <c r="G29" s="54" t="s">
        <v>102</v>
      </c>
      <c r="H29" s="54">
        <v>11</v>
      </c>
      <c r="I29" s="54">
        <v>11</v>
      </c>
      <c r="J29" s="54"/>
      <c r="K29" s="54" t="str">
        <f t="shared" si="7"/>
        <v>完结</v>
      </c>
      <c r="L29" s="54">
        <v>3</v>
      </c>
      <c r="M29" s="54"/>
      <c r="N29" s="54"/>
      <c r="O29" s="54" t="str">
        <f t="shared" si="2"/>
        <v>未</v>
      </c>
      <c r="P29" s="54" t="s">
        <v>166</v>
      </c>
      <c r="Q29" s="54" t="s">
        <v>183</v>
      </c>
      <c r="R29" s="54" t="s">
        <v>183</v>
      </c>
      <c r="S29" s="54" t="s">
        <v>43</v>
      </c>
      <c r="T29" s="54"/>
      <c r="U29" s="59"/>
      <c r="V29" s="54" t="s">
        <v>156</v>
      </c>
      <c r="W29" s="54"/>
      <c r="X29" s="54"/>
      <c r="Y29" s="54"/>
      <c r="Z29" s="54" t="s">
        <v>184</v>
      </c>
      <c r="AA29" s="54"/>
      <c r="AB29" s="54" t="s">
        <v>41</v>
      </c>
      <c r="AC29" s="54"/>
      <c r="AD29" s="54" t="s">
        <v>71</v>
      </c>
      <c r="AE29" s="54" t="str">
        <f t="shared" si="3"/>
        <v>国版</v>
      </c>
      <c r="AF29" s="54" t="str">
        <f t="shared" si="4"/>
        <v>2025/5/5</v>
      </c>
      <c r="AG29" s="54" t="str">
        <f t="shared" si="5"/>
        <v>2025/5/5</v>
      </c>
      <c r="AH29" s="54" t="str">
        <f t="shared" si="6"/>
        <v>已发证</v>
      </c>
      <c r="AI29" s="54"/>
      <c r="AJ29" s="54"/>
      <c r="AK29" s="54" t="s">
        <v>76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</row>
    <row r="30" spans="1:63" ht="30" customHeight="1">
      <c r="A30" s="51">
        <v>29</v>
      </c>
      <c r="B30" s="52" t="s">
        <v>58</v>
      </c>
      <c r="C30" s="51">
        <f t="shared" si="0"/>
        <v>2020</v>
      </c>
      <c r="D30" s="53">
        <v>44008</v>
      </c>
      <c r="E30" s="52" t="s">
        <v>185</v>
      </c>
      <c r="F30" s="51" t="s">
        <v>37</v>
      </c>
      <c r="G30" s="51" t="s">
        <v>102</v>
      </c>
      <c r="H30" s="51">
        <v>2</v>
      </c>
      <c r="I30" s="51">
        <v>2</v>
      </c>
      <c r="J30" s="51"/>
      <c r="K30" s="51" t="str">
        <f t="shared" si="7"/>
        <v>完结</v>
      </c>
      <c r="L30" s="51">
        <v>0</v>
      </c>
      <c r="M30" s="51"/>
      <c r="N30" s="51"/>
      <c r="O30" s="51" t="str">
        <f t="shared" si="2"/>
        <v>未</v>
      </c>
      <c r="P30" s="51"/>
      <c r="Q30" s="51"/>
      <c r="R30" s="51"/>
      <c r="S30" s="51"/>
      <c r="T30" s="51"/>
      <c r="U30" s="59"/>
      <c r="V30" s="51" t="s">
        <v>186</v>
      </c>
      <c r="W30" s="51"/>
      <c r="X30" s="51"/>
      <c r="Y30" s="51"/>
      <c r="Z30" s="51" t="s">
        <v>187</v>
      </c>
      <c r="AA30" s="51" t="s">
        <v>40</v>
      </c>
      <c r="AB30" s="51" t="s">
        <v>181</v>
      </c>
      <c r="AC30" s="51" t="s">
        <v>87</v>
      </c>
      <c r="AD30" s="51" t="s">
        <v>43</v>
      </c>
      <c r="AE30" s="51" t="e">
        <f t="shared" si="3"/>
        <v>#N/A</v>
      </c>
      <c r="AF30" s="51" t="e">
        <f t="shared" si="4"/>
        <v>#N/A</v>
      </c>
      <c r="AG30" s="51" t="e">
        <f t="shared" si="5"/>
        <v>#N/A</v>
      </c>
      <c r="AH30" s="51" t="e">
        <f t="shared" si="6"/>
        <v>#N/A</v>
      </c>
      <c r="AI30" s="51"/>
      <c r="AJ30" s="51"/>
      <c r="AK30" s="51" t="s">
        <v>76</v>
      </c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</row>
    <row r="31" spans="1:63" ht="30" customHeight="1">
      <c r="A31" s="45">
        <v>30</v>
      </c>
      <c r="B31" s="46" t="s">
        <v>77</v>
      </c>
      <c r="C31" s="45">
        <f t="shared" si="0"/>
        <v>2020</v>
      </c>
      <c r="D31" s="47">
        <v>44015</v>
      </c>
      <c r="E31" s="46" t="s">
        <v>188</v>
      </c>
      <c r="F31" s="45" t="s">
        <v>54</v>
      </c>
      <c r="G31" s="45" t="s">
        <v>72</v>
      </c>
      <c r="H31" s="45">
        <v>16</v>
      </c>
      <c r="I31" s="45">
        <v>16</v>
      </c>
      <c r="J31" s="45"/>
      <c r="K31" s="45" t="str">
        <f t="shared" si="7"/>
        <v>完结</v>
      </c>
      <c r="L31" s="45">
        <v>16</v>
      </c>
      <c r="M31" s="45"/>
      <c r="N31" s="45"/>
      <c r="O31" s="45" t="str">
        <f t="shared" si="2"/>
        <v>完</v>
      </c>
      <c r="P31" s="45"/>
      <c r="Q31" s="45"/>
      <c r="R31" s="45"/>
      <c r="S31" s="45"/>
      <c r="T31" s="45"/>
      <c r="U31" s="58"/>
      <c r="V31" s="45" t="s">
        <v>189</v>
      </c>
      <c r="W31" s="45"/>
      <c r="X31" s="45"/>
      <c r="Y31" s="45"/>
      <c r="Z31" s="45" t="s">
        <v>190</v>
      </c>
      <c r="AA31" s="45" t="s">
        <v>40</v>
      </c>
      <c r="AB31" s="45" t="s">
        <v>181</v>
      </c>
      <c r="AC31" s="45" t="s">
        <v>87</v>
      </c>
      <c r="AD31" s="45" t="s">
        <v>43</v>
      </c>
      <c r="AE31" s="45" t="e">
        <f t="shared" si="3"/>
        <v>#N/A</v>
      </c>
      <c r="AF31" s="45" t="e">
        <f t="shared" si="4"/>
        <v>#N/A</v>
      </c>
      <c r="AG31" s="45" t="e">
        <f t="shared" si="5"/>
        <v>#N/A</v>
      </c>
      <c r="AH31" s="45" t="e">
        <f t="shared" si="6"/>
        <v>#N/A</v>
      </c>
      <c r="AI31" s="45"/>
      <c r="AJ31" s="45"/>
      <c r="AK31" s="45" t="s">
        <v>191</v>
      </c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</row>
    <row r="32" spans="1:63" ht="30" customHeight="1">
      <c r="A32" s="51">
        <v>31</v>
      </c>
      <c r="B32" s="52" t="s">
        <v>58</v>
      </c>
      <c r="C32" s="51">
        <f t="shared" si="0"/>
        <v>2020</v>
      </c>
      <c r="D32" s="53">
        <v>44021</v>
      </c>
      <c r="E32" s="52" t="s">
        <v>192</v>
      </c>
      <c r="F32" s="51" t="s">
        <v>37</v>
      </c>
      <c r="G32" s="51" t="s">
        <v>102</v>
      </c>
      <c r="H32" s="51">
        <v>12</v>
      </c>
      <c r="I32" s="51">
        <v>12</v>
      </c>
      <c r="J32" s="51"/>
      <c r="K32" s="51" t="str">
        <f t="shared" si="7"/>
        <v>完结</v>
      </c>
      <c r="L32" s="51">
        <v>0</v>
      </c>
      <c r="M32" s="51"/>
      <c r="N32" s="51"/>
      <c r="O32" s="51" t="str">
        <f t="shared" si="2"/>
        <v>未</v>
      </c>
      <c r="P32" s="51"/>
      <c r="Q32" s="51"/>
      <c r="R32" s="51"/>
      <c r="S32" s="51"/>
      <c r="T32" s="51"/>
      <c r="U32" s="59"/>
      <c r="V32" s="51" t="s">
        <v>193</v>
      </c>
      <c r="W32" s="51"/>
      <c r="X32" s="51"/>
      <c r="Y32" s="51"/>
      <c r="Z32" s="51" t="s">
        <v>194</v>
      </c>
      <c r="AA32" s="51" t="s">
        <v>40</v>
      </c>
      <c r="AB32" s="51" t="s">
        <v>181</v>
      </c>
      <c r="AC32" s="51" t="s">
        <v>87</v>
      </c>
      <c r="AD32" s="51" t="s">
        <v>43</v>
      </c>
      <c r="AE32" s="51" t="e">
        <f t="shared" si="3"/>
        <v>#N/A</v>
      </c>
      <c r="AF32" s="51" t="e">
        <f t="shared" si="4"/>
        <v>#N/A</v>
      </c>
      <c r="AG32" s="51" t="e">
        <f t="shared" si="5"/>
        <v>#N/A</v>
      </c>
      <c r="AH32" s="51" t="e">
        <f t="shared" si="6"/>
        <v>#N/A</v>
      </c>
      <c r="AI32" s="51"/>
      <c r="AJ32" s="51"/>
      <c r="AK32" s="51" t="s">
        <v>76</v>
      </c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</row>
    <row r="33" spans="1:63" ht="30" customHeight="1">
      <c r="A33" s="48">
        <v>32</v>
      </c>
      <c r="B33" s="49" t="s">
        <v>58</v>
      </c>
      <c r="C33" s="48">
        <f t="shared" si="0"/>
        <v>2020</v>
      </c>
      <c r="D33" s="50">
        <v>44023</v>
      </c>
      <c r="E33" s="49" t="s">
        <v>195</v>
      </c>
      <c r="F33" s="48" t="s">
        <v>37</v>
      </c>
      <c r="G33" s="48" t="s">
        <v>72</v>
      </c>
      <c r="H33" s="48">
        <v>5</v>
      </c>
      <c r="I33" s="48">
        <v>5</v>
      </c>
      <c r="J33" s="48"/>
      <c r="K33" s="48" t="str">
        <f t="shared" si="7"/>
        <v>完结</v>
      </c>
      <c r="L33" s="48">
        <v>4</v>
      </c>
      <c r="M33" s="48"/>
      <c r="N33" s="48"/>
      <c r="O33" s="48" t="str">
        <f t="shared" si="2"/>
        <v>未</v>
      </c>
      <c r="P33" s="48" t="s">
        <v>166</v>
      </c>
      <c r="Q33" s="48" t="s">
        <v>173</v>
      </c>
      <c r="R33" s="48" t="s">
        <v>173</v>
      </c>
      <c r="S33" s="48" t="s">
        <v>43</v>
      </c>
      <c r="T33" s="48"/>
      <c r="U33" s="59"/>
      <c r="V33" s="48"/>
      <c r="W33" s="48"/>
      <c r="X33" s="48"/>
      <c r="Y33" s="48"/>
      <c r="Z33" s="48" t="s">
        <v>196</v>
      </c>
      <c r="AA33" s="48" t="s">
        <v>40</v>
      </c>
      <c r="AB33" s="48" t="s">
        <v>181</v>
      </c>
      <c r="AC33" s="48" t="s">
        <v>42</v>
      </c>
      <c r="AD33" s="48" t="s">
        <v>43</v>
      </c>
      <c r="AE33" s="48" t="str">
        <f t="shared" si="3"/>
        <v>国版</v>
      </c>
      <c r="AF33" s="48" t="str">
        <f t="shared" si="4"/>
        <v>2025/5/28</v>
      </c>
      <c r="AG33" s="48" t="str">
        <f t="shared" si="5"/>
        <v>2025/5/28</v>
      </c>
      <c r="AH33" s="48" t="str">
        <f t="shared" si="6"/>
        <v>已发证</v>
      </c>
      <c r="AI33" s="48"/>
      <c r="AJ33" s="48"/>
      <c r="AK33" s="48" t="s">
        <v>76</v>
      </c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</row>
    <row r="34" spans="1:63" ht="30" customHeight="1">
      <c r="A34" s="51">
        <v>33</v>
      </c>
      <c r="B34" s="52" t="s">
        <v>58</v>
      </c>
      <c r="C34" s="51">
        <f t="shared" si="0"/>
        <v>2020</v>
      </c>
      <c r="D34" s="53">
        <v>44028</v>
      </c>
      <c r="E34" s="52" t="s">
        <v>197</v>
      </c>
      <c r="F34" s="51" t="s">
        <v>37</v>
      </c>
      <c r="G34" s="51" t="s">
        <v>102</v>
      </c>
      <c r="H34" s="51">
        <v>4</v>
      </c>
      <c r="I34" s="51">
        <v>4</v>
      </c>
      <c r="J34" s="51"/>
      <c r="K34" s="51" t="s">
        <v>108</v>
      </c>
      <c r="L34" s="51">
        <v>0</v>
      </c>
      <c r="M34" s="51"/>
      <c r="N34" s="51"/>
      <c r="O34" s="51" t="str">
        <f t="shared" ref="O34:O65" si="8">IF(H34=L34,"完",IF(H34&gt;L34,"未"))</f>
        <v>未</v>
      </c>
      <c r="P34" s="51"/>
      <c r="Q34" s="51"/>
      <c r="R34" s="51"/>
      <c r="S34" s="51"/>
      <c r="T34" s="51"/>
      <c r="U34" s="59"/>
      <c r="V34" s="51"/>
      <c r="W34" s="51"/>
      <c r="X34" s="51"/>
      <c r="Y34" s="51"/>
      <c r="Z34" s="51" t="s">
        <v>198</v>
      </c>
      <c r="AA34" s="51" t="s">
        <v>40</v>
      </c>
      <c r="AB34" s="51" t="s">
        <v>199</v>
      </c>
      <c r="AC34" s="51" t="s">
        <v>42</v>
      </c>
      <c r="AD34" s="51" t="s">
        <v>43</v>
      </c>
      <c r="AE34" s="51" t="e">
        <f t="shared" ref="AE34:AE65" si="9">VLOOKUP($E34,$Z$2:$AD$76,2,FALSE)</f>
        <v>#N/A</v>
      </c>
      <c r="AF34" s="51" t="e">
        <f t="shared" ref="AF34:AF65" si="10">VLOOKUP($E34,$Z$2:$AD$76,3,FALSE)</f>
        <v>#N/A</v>
      </c>
      <c r="AG34" s="51" t="e">
        <f t="shared" ref="AG34:AG65" si="11">VLOOKUP($E34,$Z$2:$AD$76,4,FALSE)</f>
        <v>#N/A</v>
      </c>
      <c r="AH34" s="51" t="e">
        <f t="shared" ref="AH34:AH65" si="12">VLOOKUP($E34,$Z$2:$AD$76,5,FALSE)</f>
        <v>#N/A</v>
      </c>
      <c r="AI34" s="51"/>
      <c r="AJ34" s="51"/>
      <c r="AK34" s="51" t="s">
        <v>76</v>
      </c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</row>
    <row r="35" spans="1:63" ht="30" customHeight="1">
      <c r="A35" s="54">
        <v>34</v>
      </c>
      <c r="B35" s="42" t="s">
        <v>77</v>
      </c>
      <c r="C35" s="54">
        <f t="shared" si="0"/>
        <v>2020</v>
      </c>
      <c r="D35" s="55">
        <v>44031</v>
      </c>
      <c r="E35" s="42" t="s">
        <v>152</v>
      </c>
      <c r="F35" s="54" t="s">
        <v>37</v>
      </c>
      <c r="G35" s="54" t="s">
        <v>102</v>
      </c>
      <c r="H35" s="54">
        <v>5</v>
      </c>
      <c r="I35" s="54">
        <v>5</v>
      </c>
      <c r="J35" s="54"/>
      <c r="K35" s="54" t="str">
        <f t="shared" si="7"/>
        <v>完结</v>
      </c>
      <c r="L35" s="54">
        <v>5</v>
      </c>
      <c r="M35" s="54"/>
      <c r="N35" s="54"/>
      <c r="O35" s="54" t="str">
        <f t="shared" si="8"/>
        <v>完</v>
      </c>
      <c r="P35" s="54" t="s">
        <v>40</v>
      </c>
      <c r="Q35" s="54" t="s">
        <v>67</v>
      </c>
      <c r="R35" s="54">
        <v>0</v>
      </c>
      <c r="S35" s="54">
        <v>0</v>
      </c>
      <c r="T35" s="54"/>
      <c r="U35" s="59"/>
      <c r="V35" s="54"/>
      <c r="W35" s="54"/>
      <c r="X35" s="54"/>
      <c r="Y35" s="54"/>
      <c r="Z35" s="54" t="s">
        <v>200</v>
      </c>
      <c r="AA35" s="54" t="s">
        <v>40</v>
      </c>
      <c r="AB35" s="54" t="s">
        <v>56</v>
      </c>
      <c r="AC35" s="54" t="s">
        <v>42</v>
      </c>
      <c r="AD35" s="54" t="s">
        <v>43</v>
      </c>
      <c r="AE35" s="54" t="str">
        <f t="shared" si="9"/>
        <v>省版</v>
      </c>
      <c r="AF35" s="54" t="str">
        <f t="shared" si="10"/>
        <v>2025/6/5</v>
      </c>
      <c r="AG35" s="54">
        <f t="shared" si="11"/>
        <v>0</v>
      </c>
      <c r="AH35" s="54">
        <f t="shared" si="12"/>
        <v>0</v>
      </c>
      <c r="AI35" s="54"/>
      <c r="AJ35" s="54"/>
      <c r="AK35" s="54" t="s">
        <v>191</v>
      </c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</row>
    <row r="36" spans="1:63" ht="30" customHeight="1">
      <c r="A36" s="51">
        <v>35</v>
      </c>
      <c r="B36" s="52" t="s">
        <v>77</v>
      </c>
      <c r="C36" s="51">
        <f t="shared" si="0"/>
        <v>2020</v>
      </c>
      <c r="D36" s="53">
        <v>44031</v>
      </c>
      <c r="E36" s="52" t="s">
        <v>201</v>
      </c>
      <c r="F36" s="51" t="s">
        <v>37</v>
      </c>
      <c r="G36" s="51" t="s">
        <v>72</v>
      </c>
      <c r="H36" s="51">
        <v>6</v>
      </c>
      <c r="I36" s="51">
        <v>6</v>
      </c>
      <c r="J36" s="51"/>
      <c r="K36" s="51" t="str">
        <f t="shared" si="7"/>
        <v>完结</v>
      </c>
      <c r="L36" s="51">
        <v>4</v>
      </c>
      <c r="M36" s="51"/>
      <c r="N36" s="51"/>
      <c r="O36" s="51" t="str">
        <f t="shared" si="8"/>
        <v>未</v>
      </c>
      <c r="P36" s="51"/>
      <c r="Q36" s="51"/>
      <c r="R36" s="51"/>
      <c r="S36" s="51"/>
      <c r="T36" s="51"/>
      <c r="U36" s="59"/>
      <c r="V36" s="51"/>
      <c r="W36" s="51"/>
      <c r="X36" s="51"/>
      <c r="Y36" s="51"/>
      <c r="Z36" s="51" t="s">
        <v>202</v>
      </c>
      <c r="AA36" s="51" t="s">
        <v>40</v>
      </c>
      <c r="AB36" s="51" t="s">
        <v>56</v>
      </c>
      <c r="AC36" s="51" t="s">
        <v>42</v>
      </c>
      <c r="AD36" s="51" t="s">
        <v>43</v>
      </c>
      <c r="AE36" s="51" t="e">
        <f t="shared" si="9"/>
        <v>#N/A</v>
      </c>
      <c r="AF36" s="51" t="e">
        <f t="shared" si="10"/>
        <v>#N/A</v>
      </c>
      <c r="AG36" s="51" t="e">
        <f t="shared" si="11"/>
        <v>#N/A</v>
      </c>
      <c r="AH36" s="51" t="e">
        <f t="shared" si="12"/>
        <v>#N/A</v>
      </c>
      <c r="AI36" s="51"/>
      <c r="AJ36" s="51"/>
      <c r="AK36" s="51" t="s">
        <v>191</v>
      </c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</row>
    <row r="37" spans="1:63" ht="30" customHeight="1">
      <c r="A37" s="45">
        <v>36</v>
      </c>
      <c r="B37" s="46" t="s">
        <v>77</v>
      </c>
      <c r="C37" s="45">
        <f t="shared" si="0"/>
        <v>2020</v>
      </c>
      <c r="D37" s="47">
        <v>44031</v>
      </c>
      <c r="E37" s="46" t="s">
        <v>203</v>
      </c>
      <c r="F37" s="45" t="s">
        <v>81</v>
      </c>
      <c r="G37" s="45" t="s">
        <v>88</v>
      </c>
      <c r="H37" s="45">
        <v>7</v>
      </c>
      <c r="I37" s="45">
        <v>7</v>
      </c>
      <c r="J37" s="45"/>
      <c r="K37" s="45" t="str">
        <f t="shared" si="7"/>
        <v>完结</v>
      </c>
      <c r="L37" s="45">
        <v>7</v>
      </c>
      <c r="M37" s="45"/>
      <c r="N37" s="45"/>
      <c r="O37" s="45" t="str">
        <f t="shared" si="8"/>
        <v>完</v>
      </c>
      <c r="P37" s="45"/>
      <c r="Q37" s="45"/>
      <c r="R37" s="45"/>
      <c r="S37" s="45"/>
      <c r="T37" s="45"/>
      <c r="U37" s="58"/>
      <c r="V37" s="45"/>
      <c r="W37" s="45"/>
      <c r="X37" s="45"/>
      <c r="Y37" s="45"/>
      <c r="Z37" s="45" t="s">
        <v>204</v>
      </c>
      <c r="AA37" s="45" t="s">
        <v>40</v>
      </c>
      <c r="AB37" s="45" t="s">
        <v>205</v>
      </c>
      <c r="AC37" s="45" t="s">
        <v>87</v>
      </c>
      <c r="AD37" s="45" t="s">
        <v>43</v>
      </c>
      <c r="AE37" s="45" t="e">
        <f t="shared" si="9"/>
        <v>#N/A</v>
      </c>
      <c r="AF37" s="45" t="e">
        <f t="shared" si="10"/>
        <v>#N/A</v>
      </c>
      <c r="AG37" s="45" t="e">
        <f t="shared" si="11"/>
        <v>#N/A</v>
      </c>
      <c r="AH37" s="45" t="e">
        <f t="shared" si="12"/>
        <v>#N/A</v>
      </c>
      <c r="AI37" s="45"/>
      <c r="AJ37" s="45"/>
      <c r="AK37" s="45" t="s">
        <v>191</v>
      </c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</row>
    <row r="38" spans="1:63" ht="30" customHeight="1">
      <c r="A38" s="51">
        <v>37</v>
      </c>
      <c r="B38" s="52" t="s">
        <v>35</v>
      </c>
      <c r="C38" s="51">
        <f t="shared" si="0"/>
        <v>2020</v>
      </c>
      <c r="D38" s="53">
        <v>44036</v>
      </c>
      <c r="E38" s="52" t="s">
        <v>206</v>
      </c>
      <c r="F38" s="51" t="s">
        <v>107</v>
      </c>
      <c r="G38" s="51" t="s">
        <v>102</v>
      </c>
      <c r="H38" s="51">
        <v>6</v>
      </c>
      <c r="I38" s="51">
        <v>2</v>
      </c>
      <c r="J38" s="51"/>
      <c r="K38" s="51" t="s">
        <v>140</v>
      </c>
      <c r="L38" s="51">
        <v>0</v>
      </c>
      <c r="M38" s="51"/>
      <c r="N38" s="51"/>
      <c r="O38" s="51" t="str">
        <f t="shared" si="8"/>
        <v>未</v>
      </c>
      <c r="P38" s="51"/>
      <c r="Q38" s="51"/>
      <c r="R38" s="51"/>
      <c r="S38" s="51"/>
      <c r="T38" s="51"/>
      <c r="U38" s="59"/>
      <c r="V38" s="51"/>
      <c r="W38" s="51"/>
      <c r="X38" s="51"/>
      <c r="Y38" s="51"/>
      <c r="Z38" s="51" t="s">
        <v>207</v>
      </c>
      <c r="AA38" s="51" t="s">
        <v>40</v>
      </c>
      <c r="AB38" s="51" t="s">
        <v>205</v>
      </c>
      <c r="AC38" s="51" t="s">
        <v>87</v>
      </c>
      <c r="AD38" s="51" t="s">
        <v>43</v>
      </c>
      <c r="AE38" s="51" t="e">
        <f t="shared" si="9"/>
        <v>#N/A</v>
      </c>
      <c r="AF38" s="51" t="e">
        <f t="shared" si="10"/>
        <v>#N/A</v>
      </c>
      <c r="AG38" s="51" t="e">
        <f t="shared" si="11"/>
        <v>#N/A</v>
      </c>
      <c r="AH38" s="51" t="e">
        <f t="shared" si="12"/>
        <v>#N/A</v>
      </c>
      <c r="AI38" s="51"/>
      <c r="AJ38" s="51"/>
      <c r="AK38" s="51" t="s">
        <v>143</v>
      </c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</row>
    <row r="39" spans="1:63" ht="30" customHeight="1">
      <c r="A39" s="48">
        <v>38</v>
      </c>
      <c r="B39" s="49" t="s">
        <v>77</v>
      </c>
      <c r="C39" s="48">
        <f t="shared" si="0"/>
        <v>2020</v>
      </c>
      <c r="D39" s="50">
        <v>44038</v>
      </c>
      <c r="E39" s="49" t="s">
        <v>149</v>
      </c>
      <c r="F39" s="48" t="s">
        <v>37</v>
      </c>
      <c r="G39" s="48" t="s">
        <v>102</v>
      </c>
      <c r="H39" s="48">
        <v>6</v>
      </c>
      <c r="I39" s="48">
        <v>6</v>
      </c>
      <c r="J39" s="48"/>
      <c r="K39" s="48" t="str">
        <f>IF(H39=I39,"完结",IF(H39&gt;I39,"未完结"))</f>
        <v>完结</v>
      </c>
      <c r="L39" s="48">
        <v>6</v>
      </c>
      <c r="M39" s="48"/>
      <c r="N39" s="48"/>
      <c r="O39" s="48" t="str">
        <f t="shared" si="8"/>
        <v>完</v>
      </c>
      <c r="P39" s="48" t="s">
        <v>40</v>
      </c>
      <c r="Q39" s="48" t="s">
        <v>67</v>
      </c>
      <c r="R39" s="48">
        <v>0</v>
      </c>
      <c r="S39" s="48">
        <v>0</v>
      </c>
      <c r="T39" s="48"/>
      <c r="U39" s="59"/>
      <c r="V39" s="48"/>
      <c r="W39" s="48"/>
      <c r="X39" s="48"/>
      <c r="Y39" s="48"/>
      <c r="Z39" s="48" t="s">
        <v>208</v>
      </c>
      <c r="AA39" s="48" t="s">
        <v>40</v>
      </c>
      <c r="AB39" s="48" t="s">
        <v>205</v>
      </c>
      <c r="AC39" s="48" t="s">
        <v>87</v>
      </c>
      <c r="AD39" s="48" t="s">
        <v>43</v>
      </c>
      <c r="AE39" s="48" t="str">
        <f t="shared" si="9"/>
        <v>省版</v>
      </c>
      <c r="AF39" s="48" t="str">
        <f t="shared" si="10"/>
        <v>2025/6/5</v>
      </c>
      <c r="AG39" s="48">
        <f t="shared" si="11"/>
        <v>0</v>
      </c>
      <c r="AH39" s="48">
        <f t="shared" si="12"/>
        <v>0</v>
      </c>
      <c r="AI39" s="48"/>
      <c r="AJ39" s="48"/>
      <c r="AK39" s="48" t="s">
        <v>191</v>
      </c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</row>
    <row r="40" spans="1:63" ht="30" customHeight="1">
      <c r="A40" s="51">
        <v>39</v>
      </c>
      <c r="B40" s="52" t="s">
        <v>73</v>
      </c>
      <c r="C40" s="51">
        <f t="shared" si="0"/>
        <v>2020</v>
      </c>
      <c r="D40" s="53">
        <v>44042</v>
      </c>
      <c r="E40" s="52" t="s">
        <v>209</v>
      </c>
      <c r="F40" s="51" t="s">
        <v>54</v>
      </c>
      <c r="G40" s="51" t="s">
        <v>88</v>
      </c>
      <c r="H40" s="51">
        <v>5</v>
      </c>
      <c r="I40" s="51">
        <v>5</v>
      </c>
      <c r="J40" s="51"/>
      <c r="K40" s="51" t="str">
        <f>IF(H40=I40,"完结",IF(H40&gt;I40,"未完结"))</f>
        <v>完结</v>
      </c>
      <c r="L40" s="51">
        <v>5</v>
      </c>
      <c r="M40" s="51"/>
      <c r="N40" s="51"/>
      <c r="O40" s="51" t="str">
        <f t="shared" si="8"/>
        <v>完</v>
      </c>
      <c r="P40" s="51" t="s">
        <v>40</v>
      </c>
      <c r="Q40" s="51" t="s">
        <v>70</v>
      </c>
      <c r="R40" s="51" t="s">
        <v>87</v>
      </c>
      <c r="S40" s="51" t="s">
        <v>43</v>
      </c>
      <c r="T40" s="51"/>
      <c r="U40" s="59"/>
      <c r="V40" s="51"/>
      <c r="W40" s="51"/>
      <c r="X40" s="51"/>
      <c r="Y40" s="51"/>
      <c r="Z40" s="51" t="s">
        <v>210</v>
      </c>
      <c r="AA40" s="51" t="s">
        <v>40</v>
      </c>
      <c r="AB40" s="51" t="s">
        <v>205</v>
      </c>
      <c r="AC40" s="51" t="s">
        <v>87</v>
      </c>
      <c r="AD40" s="51" t="s">
        <v>43</v>
      </c>
      <c r="AE40" s="51" t="str">
        <f t="shared" si="9"/>
        <v>省版</v>
      </c>
      <c r="AF40" s="51" t="str">
        <f t="shared" si="10"/>
        <v>2025/5/30</v>
      </c>
      <c r="AG40" s="51" t="str">
        <f t="shared" si="11"/>
        <v>2025/7/3</v>
      </c>
      <c r="AH40" s="51" t="str">
        <f t="shared" si="12"/>
        <v>已发证</v>
      </c>
      <c r="AI40" s="51"/>
      <c r="AJ40" s="51"/>
      <c r="AK40" s="51" t="s">
        <v>93</v>
      </c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</row>
    <row r="41" spans="1:63" ht="30" customHeight="1">
      <c r="A41" s="54">
        <v>40</v>
      </c>
      <c r="B41" s="42" t="s">
        <v>58</v>
      </c>
      <c r="C41" s="54">
        <f t="shared" si="0"/>
        <v>2020</v>
      </c>
      <c r="D41" s="55">
        <v>44046</v>
      </c>
      <c r="E41" s="42" t="s">
        <v>211</v>
      </c>
      <c r="F41" s="54" t="s">
        <v>107</v>
      </c>
      <c r="G41" s="54" t="s">
        <v>102</v>
      </c>
      <c r="H41" s="54">
        <v>8</v>
      </c>
      <c r="I41" s="54">
        <v>8</v>
      </c>
      <c r="J41" s="54"/>
      <c r="K41" s="54" t="str">
        <f>IF(H41=I41,"完结",IF(H41&gt;I41,"未完结"))</f>
        <v>完结</v>
      </c>
      <c r="L41" s="54">
        <v>0</v>
      </c>
      <c r="M41" s="54"/>
      <c r="N41" s="54"/>
      <c r="O41" s="54" t="str">
        <f t="shared" si="8"/>
        <v>未</v>
      </c>
      <c r="P41" s="54"/>
      <c r="Q41" s="54"/>
      <c r="R41" s="54"/>
      <c r="S41" s="54"/>
      <c r="T41" s="54"/>
      <c r="U41" s="59"/>
      <c r="V41" s="54"/>
      <c r="W41" s="54"/>
      <c r="X41" s="54"/>
      <c r="Y41" s="54"/>
      <c r="Z41" s="54" t="s">
        <v>212</v>
      </c>
      <c r="AA41" s="54" t="s">
        <v>166</v>
      </c>
      <c r="AB41" s="54" t="s">
        <v>213</v>
      </c>
      <c r="AC41" s="54" t="s">
        <v>214</v>
      </c>
      <c r="AD41" s="54" t="s">
        <v>43</v>
      </c>
      <c r="AE41" s="54" t="e">
        <f t="shared" si="9"/>
        <v>#N/A</v>
      </c>
      <c r="AF41" s="54" t="e">
        <f t="shared" si="10"/>
        <v>#N/A</v>
      </c>
      <c r="AG41" s="54" t="e">
        <f t="shared" si="11"/>
        <v>#N/A</v>
      </c>
      <c r="AH41" s="54" t="e">
        <f t="shared" si="12"/>
        <v>#N/A</v>
      </c>
      <c r="AI41" s="54"/>
      <c r="AJ41" s="54"/>
      <c r="AK41" s="54" t="s">
        <v>76</v>
      </c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</row>
    <row r="42" spans="1:63" ht="30" customHeight="1">
      <c r="A42" s="51">
        <v>41</v>
      </c>
      <c r="B42" s="52" t="s">
        <v>73</v>
      </c>
      <c r="C42" s="51">
        <f t="shared" si="0"/>
        <v>2020</v>
      </c>
      <c r="D42" s="53">
        <v>44049</v>
      </c>
      <c r="E42" s="52" t="s">
        <v>215</v>
      </c>
      <c r="F42" s="51" t="s">
        <v>37</v>
      </c>
      <c r="G42" s="51" t="s">
        <v>88</v>
      </c>
      <c r="H42" s="51">
        <v>5</v>
      </c>
      <c r="I42" s="51">
        <v>5</v>
      </c>
      <c r="J42" s="51"/>
      <c r="K42" s="51" t="str">
        <f>IF(H42=I42,"完结",IF(H42&gt;I42,"未完结"))</f>
        <v>完结</v>
      </c>
      <c r="L42" s="51">
        <v>5</v>
      </c>
      <c r="M42" s="51"/>
      <c r="N42" s="51"/>
      <c r="O42" s="51" t="str">
        <f t="shared" si="8"/>
        <v>完</v>
      </c>
      <c r="P42" s="51" t="s">
        <v>40</v>
      </c>
      <c r="Q42" s="51" t="s">
        <v>216</v>
      </c>
      <c r="R42" s="51" t="s">
        <v>70</v>
      </c>
      <c r="S42" s="51" t="s">
        <v>43</v>
      </c>
      <c r="T42" s="51"/>
      <c r="U42" s="59"/>
      <c r="V42" s="51"/>
      <c r="W42" s="51"/>
      <c r="X42" s="51"/>
      <c r="Y42" s="51"/>
      <c r="Z42" s="51" t="s">
        <v>217</v>
      </c>
      <c r="AA42" s="51" t="s">
        <v>40</v>
      </c>
      <c r="AB42" s="51" t="s">
        <v>70</v>
      </c>
      <c r="AC42" s="51" t="s">
        <v>70</v>
      </c>
      <c r="AD42" s="51" t="s">
        <v>43</v>
      </c>
      <c r="AE42" s="51" t="str">
        <f t="shared" si="9"/>
        <v>省版</v>
      </c>
      <c r="AF42" s="51" t="str">
        <f t="shared" si="10"/>
        <v>2025/5/29</v>
      </c>
      <c r="AG42" s="51" t="str">
        <f t="shared" si="11"/>
        <v>2025/5/30</v>
      </c>
      <c r="AH42" s="51" t="str">
        <f t="shared" si="12"/>
        <v>已发证</v>
      </c>
      <c r="AI42" s="51"/>
      <c r="AJ42" s="51"/>
      <c r="AK42" s="51" t="s">
        <v>76</v>
      </c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</row>
    <row r="43" spans="1:63" ht="30" customHeight="1">
      <c r="A43" s="45">
        <v>42</v>
      </c>
      <c r="B43" s="46" t="s">
        <v>35</v>
      </c>
      <c r="C43" s="45">
        <f t="shared" si="0"/>
        <v>2020</v>
      </c>
      <c r="D43" s="47">
        <v>44053</v>
      </c>
      <c r="E43" s="46" t="s">
        <v>218</v>
      </c>
      <c r="F43" s="45" t="s">
        <v>37</v>
      </c>
      <c r="G43" s="45" t="s">
        <v>72</v>
      </c>
      <c r="H43" s="45">
        <v>10</v>
      </c>
      <c r="I43" s="45">
        <v>3</v>
      </c>
      <c r="J43" s="45"/>
      <c r="K43" s="45" t="str">
        <f>IF(H43=I43,"完结",IF(H43&gt;I43,"下载中"))</f>
        <v>下载中</v>
      </c>
      <c r="L43" s="45">
        <v>2</v>
      </c>
      <c r="M43" s="45"/>
      <c r="N43" s="45"/>
      <c r="O43" s="45" t="str">
        <f t="shared" si="8"/>
        <v>未</v>
      </c>
      <c r="P43" s="45">
        <v>0</v>
      </c>
      <c r="Q43" s="45" t="s">
        <v>41</v>
      </c>
      <c r="R43" s="45">
        <v>0</v>
      </c>
      <c r="S43" s="45" t="s">
        <v>71</v>
      </c>
      <c r="T43" s="45"/>
      <c r="U43" s="58"/>
      <c r="V43" s="45"/>
      <c r="W43" s="45"/>
      <c r="X43" s="45"/>
      <c r="Y43" s="45"/>
      <c r="Z43" s="45" t="s">
        <v>219</v>
      </c>
      <c r="AA43" s="45" t="s">
        <v>40</v>
      </c>
      <c r="AB43" s="45" t="s">
        <v>70</v>
      </c>
      <c r="AC43" s="45" t="s">
        <v>70</v>
      </c>
      <c r="AD43" s="45" t="s">
        <v>43</v>
      </c>
      <c r="AE43" s="45">
        <f t="shared" si="9"/>
        <v>0</v>
      </c>
      <c r="AF43" s="45" t="str">
        <f t="shared" si="10"/>
        <v>2025/6/6</v>
      </c>
      <c r="AG43" s="45">
        <f t="shared" si="11"/>
        <v>0</v>
      </c>
      <c r="AH43" s="45" t="str">
        <f t="shared" si="12"/>
        <v>阶段稿已存证</v>
      </c>
      <c r="AI43" s="45"/>
      <c r="AJ43" s="45"/>
      <c r="AK43" s="45" t="s">
        <v>191</v>
      </c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</row>
    <row r="44" spans="1:63" ht="30" customHeight="1">
      <c r="A44" s="51">
        <v>43</v>
      </c>
      <c r="B44" s="52" t="s">
        <v>58</v>
      </c>
      <c r="C44" s="51">
        <f t="shared" si="0"/>
        <v>2020</v>
      </c>
      <c r="D44" s="53">
        <v>44055</v>
      </c>
      <c r="E44" s="52" t="s">
        <v>220</v>
      </c>
      <c r="F44" s="51" t="s">
        <v>107</v>
      </c>
      <c r="G44" s="51" t="s">
        <v>102</v>
      </c>
      <c r="H44" s="51">
        <v>5</v>
      </c>
      <c r="I44" s="51">
        <v>1</v>
      </c>
      <c r="J44" s="51"/>
      <c r="K44" s="51" t="s">
        <v>140</v>
      </c>
      <c r="L44" s="51">
        <v>0</v>
      </c>
      <c r="M44" s="51"/>
      <c r="N44" s="51"/>
      <c r="O44" s="51" t="str">
        <f t="shared" si="8"/>
        <v>未</v>
      </c>
      <c r="P44" s="51"/>
      <c r="Q44" s="51"/>
      <c r="R44" s="51"/>
      <c r="S44" s="51"/>
      <c r="T44" s="51"/>
      <c r="U44" s="59"/>
      <c r="V44" s="51"/>
      <c r="W44" s="51"/>
      <c r="X44" s="51"/>
      <c r="Y44" s="51"/>
      <c r="Z44" s="51" t="s">
        <v>221</v>
      </c>
      <c r="AA44" s="51" t="s">
        <v>40</v>
      </c>
      <c r="AB44" s="51" t="s">
        <v>70</v>
      </c>
      <c r="AC44" s="51" t="s">
        <v>70</v>
      </c>
      <c r="AD44" s="51" t="s">
        <v>43</v>
      </c>
      <c r="AE44" s="51" t="e">
        <f t="shared" si="9"/>
        <v>#N/A</v>
      </c>
      <c r="AF44" s="51" t="e">
        <f t="shared" si="10"/>
        <v>#N/A</v>
      </c>
      <c r="AG44" s="51" t="e">
        <f t="shared" si="11"/>
        <v>#N/A</v>
      </c>
      <c r="AH44" s="51" t="e">
        <f t="shared" si="12"/>
        <v>#N/A</v>
      </c>
      <c r="AI44" s="51"/>
      <c r="AJ44" s="51"/>
      <c r="AK44" s="51" t="s">
        <v>143</v>
      </c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</row>
    <row r="45" spans="1:63" ht="30" customHeight="1">
      <c r="A45" s="48">
        <v>44</v>
      </c>
      <c r="B45" s="49" t="s">
        <v>45</v>
      </c>
      <c r="C45" s="48">
        <f t="shared" si="0"/>
        <v>2020</v>
      </c>
      <c r="D45" s="50">
        <v>44056</v>
      </c>
      <c r="E45" s="49" t="s">
        <v>222</v>
      </c>
      <c r="F45" s="48" t="s">
        <v>54</v>
      </c>
      <c r="G45" s="48" t="s">
        <v>88</v>
      </c>
      <c r="H45" s="48">
        <v>10</v>
      </c>
      <c r="I45" s="48">
        <v>10</v>
      </c>
      <c r="J45" s="48"/>
      <c r="K45" s="48" t="str">
        <f t="shared" ref="K45:K61" si="13">IF(H45=I45,"完结",IF(H45&gt;I45,"未完结"))</f>
        <v>完结</v>
      </c>
      <c r="L45" s="48">
        <v>10</v>
      </c>
      <c r="M45" s="48"/>
      <c r="N45" s="48"/>
      <c r="O45" s="48" t="str">
        <f t="shared" si="8"/>
        <v>完</v>
      </c>
      <c r="P45" s="48"/>
      <c r="Q45" s="48"/>
      <c r="R45" s="48"/>
      <c r="S45" s="48"/>
      <c r="T45" s="48"/>
      <c r="U45" s="59"/>
      <c r="V45" s="48"/>
      <c r="W45" s="48"/>
      <c r="X45" s="48"/>
      <c r="Y45" s="48"/>
      <c r="Z45" s="48" t="s">
        <v>209</v>
      </c>
      <c r="AA45" s="48" t="s">
        <v>40</v>
      </c>
      <c r="AB45" s="48" t="s">
        <v>70</v>
      </c>
      <c r="AC45" s="48" t="s">
        <v>87</v>
      </c>
      <c r="AD45" s="48" t="s">
        <v>43</v>
      </c>
      <c r="AE45" s="48" t="e">
        <f t="shared" si="9"/>
        <v>#N/A</v>
      </c>
      <c r="AF45" s="48" t="e">
        <f t="shared" si="10"/>
        <v>#N/A</v>
      </c>
      <c r="AG45" s="48" t="e">
        <f t="shared" si="11"/>
        <v>#N/A</v>
      </c>
      <c r="AH45" s="48" t="e">
        <f t="shared" si="12"/>
        <v>#N/A</v>
      </c>
      <c r="AI45" s="48"/>
      <c r="AJ45" s="48"/>
      <c r="AK45" s="48" t="s">
        <v>52</v>
      </c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</row>
    <row r="46" spans="1:63" ht="30" customHeight="1">
      <c r="A46" s="51">
        <v>45</v>
      </c>
      <c r="B46" s="52" t="s">
        <v>90</v>
      </c>
      <c r="C46" s="51">
        <f t="shared" si="0"/>
        <v>2020</v>
      </c>
      <c r="D46" s="53">
        <v>44058</v>
      </c>
      <c r="E46" s="52" t="s">
        <v>223</v>
      </c>
      <c r="F46" s="51" t="s">
        <v>54</v>
      </c>
      <c r="G46" s="51" t="s">
        <v>102</v>
      </c>
      <c r="H46" s="51">
        <v>1</v>
      </c>
      <c r="I46" s="51">
        <v>1</v>
      </c>
      <c r="J46" s="51"/>
      <c r="K46" s="51" t="str">
        <f t="shared" si="13"/>
        <v>完结</v>
      </c>
      <c r="L46" s="51">
        <v>0</v>
      </c>
      <c r="M46" s="51"/>
      <c r="N46" s="51"/>
      <c r="O46" s="51" t="str">
        <f t="shared" si="8"/>
        <v>未</v>
      </c>
      <c r="P46" s="51"/>
      <c r="Q46" s="51"/>
      <c r="R46" s="51"/>
      <c r="S46" s="51"/>
      <c r="T46" s="51"/>
      <c r="U46" s="59"/>
      <c r="V46" s="51"/>
      <c r="W46" s="51"/>
      <c r="X46" s="51"/>
      <c r="Y46" s="51"/>
      <c r="Z46" s="51" t="s">
        <v>85</v>
      </c>
      <c r="AA46" s="51" t="s">
        <v>40</v>
      </c>
      <c r="AB46" s="51" t="s">
        <v>70</v>
      </c>
      <c r="AC46" s="51" t="s">
        <v>87</v>
      </c>
      <c r="AD46" s="51" t="s">
        <v>43</v>
      </c>
      <c r="AE46" s="51" t="e">
        <f t="shared" si="9"/>
        <v>#N/A</v>
      </c>
      <c r="AF46" s="51" t="e">
        <f t="shared" si="10"/>
        <v>#N/A</v>
      </c>
      <c r="AG46" s="51" t="e">
        <f t="shared" si="11"/>
        <v>#N/A</v>
      </c>
      <c r="AH46" s="51" t="e">
        <f t="shared" si="12"/>
        <v>#N/A</v>
      </c>
      <c r="AI46" s="51"/>
      <c r="AJ46" s="51"/>
      <c r="AK46" s="51" t="s">
        <v>176</v>
      </c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</row>
    <row r="47" spans="1:63" ht="30" customHeight="1">
      <c r="A47" s="54">
        <v>46</v>
      </c>
      <c r="B47" s="42" t="s">
        <v>35</v>
      </c>
      <c r="C47" s="54">
        <f t="shared" si="0"/>
        <v>2020</v>
      </c>
      <c r="D47" s="55">
        <v>44071</v>
      </c>
      <c r="E47" s="42" t="s">
        <v>210</v>
      </c>
      <c r="F47" s="54" t="s">
        <v>54</v>
      </c>
      <c r="G47" s="54" t="s">
        <v>72</v>
      </c>
      <c r="H47" s="54">
        <v>6</v>
      </c>
      <c r="I47" s="54">
        <v>6</v>
      </c>
      <c r="J47" s="54"/>
      <c r="K47" s="54" t="str">
        <f t="shared" si="13"/>
        <v>完结</v>
      </c>
      <c r="L47" s="54">
        <v>6</v>
      </c>
      <c r="M47" s="54"/>
      <c r="N47" s="54"/>
      <c r="O47" s="54" t="str">
        <f t="shared" si="8"/>
        <v>完</v>
      </c>
      <c r="P47" s="54" t="s">
        <v>40</v>
      </c>
      <c r="Q47" s="54" t="s">
        <v>205</v>
      </c>
      <c r="R47" s="54" t="s">
        <v>87</v>
      </c>
      <c r="S47" s="54" t="s">
        <v>43</v>
      </c>
      <c r="T47" s="54"/>
      <c r="U47" s="59"/>
      <c r="V47" s="54"/>
      <c r="W47" s="54"/>
      <c r="X47" s="54"/>
      <c r="Y47" s="54"/>
      <c r="Z47" s="54" t="s">
        <v>218</v>
      </c>
      <c r="AA47" s="54"/>
      <c r="AB47" s="54" t="s">
        <v>41</v>
      </c>
      <c r="AC47" s="54"/>
      <c r="AD47" s="54" t="s">
        <v>71</v>
      </c>
      <c r="AE47" s="54" t="str">
        <f t="shared" si="9"/>
        <v>省版</v>
      </c>
      <c r="AF47" s="54" t="str">
        <f t="shared" si="10"/>
        <v>2025/5/31</v>
      </c>
      <c r="AG47" s="54" t="str">
        <f t="shared" si="11"/>
        <v>2025/7/3</v>
      </c>
      <c r="AH47" s="54" t="str">
        <f t="shared" si="12"/>
        <v>已发证</v>
      </c>
      <c r="AI47" s="54"/>
      <c r="AJ47" s="54"/>
      <c r="AK47" s="54" t="s">
        <v>224</v>
      </c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</row>
    <row r="48" spans="1:63" ht="30" customHeight="1">
      <c r="A48" s="51">
        <v>47</v>
      </c>
      <c r="B48" s="52" t="s">
        <v>45</v>
      </c>
      <c r="C48" s="51">
        <f t="shared" si="0"/>
        <v>2020</v>
      </c>
      <c r="D48" s="53">
        <v>44076</v>
      </c>
      <c r="E48" s="52" t="s">
        <v>225</v>
      </c>
      <c r="F48" s="51" t="s">
        <v>54</v>
      </c>
      <c r="G48" s="51" t="s">
        <v>72</v>
      </c>
      <c r="H48" s="51">
        <v>5</v>
      </c>
      <c r="I48" s="51">
        <v>5</v>
      </c>
      <c r="J48" s="51"/>
      <c r="K48" s="51" t="str">
        <f t="shared" si="13"/>
        <v>完结</v>
      </c>
      <c r="L48" s="51">
        <v>0</v>
      </c>
      <c r="M48" s="51"/>
      <c r="N48" s="51"/>
      <c r="O48" s="51" t="str">
        <f t="shared" si="8"/>
        <v>未</v>
      </c>
      <c r="P48" s="51"/>
      <c r="Q48" s="51"/>
      <c r="R48" s="51"/>
      <c r="S48" s="51"/>
      <c r="T48" s="51"/>
      <c r="U48" s="59"/>
      <c r="V48" s="51"/>
      <c r="W48" s="51"/>
      <c r="X48" s="51"/>
      <c r="Y48" s="51"/>
      <c r="Z48" s="51" t="s">
        <v>226</v>
      </c>
      <c r="AA48" s="51" t="s">
        <v>40</v>
      </c>
      <c r="AB48" s="51" t="s">
        <v>216</v>
      </c>
      <c r="AC48" s="51" t="s">
        <v>70</v>
      </c>
      <c r="AD48" s="51" t="s">
        <v>43</v>
      </c>
      <c r="AE48" s="51" t="e">
        <f t="shared" si="9"/>
        <v>#N/A</v>
      </c>
      <c r="AF48" s="51" t="e">
        <f t="shared" si="10"/>
        <v>#N/A</v>
      </c>
      <c r="AG48" s="51" t="e">
        <f t="shared" si="11"/>
        <v>#N/A</v>
      </c>
      <c r="AH48" s="51" t="e">
        <f t="shared" si="12"/>
        <v>#N/A</v>
      </c>
      <c r="AI48" s="51"/>
      <c r="AJ48" s="51"/>
      <c r="AK48" s="51" t="s">
        <v>52</v>
      </c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</row>
    <row r="49" spans="1:63" ht="30" customHeight="1">
      <c r="A49" s="45">
        <v>48</v>
      </c>
      <c r="B49" s="46" t="s">
        <v>90</v>
      </c>
      <c r="C49" s="45">
        <f t="shared" si="0"/>
        <v>2020</v>
      </c>
      <c r="D49" s="47">
        <v>44077</v>
      </c>
      <c r="E49" s="46" t="s">
        <v>227</v>
      </c>
      <c r="F49" s="45" t="s">
        <v>37</v>
      </c>
      <c r="G49" s="45" t="s">
        <v>63</v>
      </c>
      <c r="H49" s="45">
        <v>4</v>
      </c>
      <c r="I49" s="45">
        <v>4</v>
      </c>
      <c r="J49" s="45"/>
      <c r="K49" s="45" t="str">
        <f t="shared" si="13"/>
        <v>完结</v>
      </c>
      <c r="L49" s="45">
        <v>4</v>
      </c>
      <c r="M49" s="45"/>
      <c r="N49" s="45"/>
      <c r="O49" s="45" t="str">
        <f t="shared" si="8"/>
        <v>完</v>
      </c>
      <c r="P49" s="45"/>
      <c r="Q49" s="45"/>
      <c r="R49" s="45"/>
      <c r="S49" s="45"/>
      <c r="T49" s="45"/>
      <c r="U49" s="58"/>
      <c r="V49" s="45"/>
      <c r="W49" s="45"/>
      <c r="X49" s="45"/>
      <c r="Y49" s="45"/>
      <c r="Z49" s="45" t="s">
        <v>228</v>
      </c>
      <c r="AA49" s="45" t="s">
        <v>40</v>
      </c>
      <c r="AB49" s="45" t="s">
        <v>216</v>
      </c>
      <c r="AC49" s="45" t="s">
        <v>70</v>
      </c>
      <c r="AD49" s="45" t="s">
        <v>43</v>
      </c>
      <c r="AE49" s="45" t="e">
        <f t="shared" si="9"/>
        <v>#N/A</v>
      </c>
      <c r="AF49" s="45" t="e">
        <f t="shared" si="10"/>
        <v>#N/A</v>
      </c>
      <c r="AG49" s="45" t="e">
        <f t="shared" si="11"/>
        <v>#N/A</v>
      </c>
      <c r="AH49" s="45" t="e">
        <f t="shared" si="12"/>
        <v>#N/A</v>
      </c>
      <c r="AI49" s="45"/>
      <c r="AJ49" s="45"/>
      <c r="AK49" s="45" t="s">
        <v>229</v>
      </c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</row>
    <row r="50" spans="1:63" ht="30" customHeight="1">
      <c r="A50" s="51">
        <v>49</v>
      </c>
      <c r="B50" s="52" t="s">
        <v>49</v>
      </c>
      <c r="C50" s="51">
        <f t="shared" si="0"/>
        <v>2020</v>
      </c>
      <c r="D50" s="53">
        <v>44077</v>
      </c>
      <c r="E50" s="52" t="s">
        <v>142</v>
      </c>
      <c r="F50" s="51" t="s">
        <v>37</v>
      </c>
      <c r="G50" s="51" t="s">
        <v>47</v>
      </c>
      <c r="H50" s="51">
        <v>5</v>
      </c>
      <c r="I50" s="51">
        <v>5</v>
      </c>
      <c r="J50" s="51"/>
      <c r="K50" s="51" t="str">
        <f t="shared" si="13"/>
        <v>完结</v>
      </c>
      <c r="L50" s="51">
        <v>5</v>
      </c>
      <c r="M50" s="51"/>
      <c r="N50" s="51"/>
      <c r="O50" s="51" t="str">
        <f t="shared" si="8"/>
        <v>完</v>
      </c>
      <c r="P50" s="51" t="s">
        <v>40</v>
      </c>
      <c r="Q50" s="51" t="s">
        <v>67</v>
      </c>
      <c r="R50" s="51">
        <v>0</v>
      </c>
      <c r="S50" s="51">
        <v>0</v>
      </c>
      <c r="T50" s="51"/>
      <c r="U50" s="59"/>
      <c r="V50" s="51"/>
      <c r="W50" s="51"/>
      <c r="X50" s="51"/>
      <c r="Y50" s="51"/>
      <c r="Z50" s="51" t="s">
        <v>230</v>
      </c>
      <c r="AA50" s="51" t="s">
        <v>40</v>
      </c>
      <c r="AB50" s="51" t="s">
        <v>216</v>
      </c>
      <c r="AC50" s="51" t="s">
        <v>70</v>
      </c>
      <c r="AD50" s="51" t="s">
        <v>43</v>
      </c>
      <c r="AE50" s="51" t="str">
        <f t="shared" si="9"/>
        <v>省版</v>
      </c>
      <c r="AF50" s="51" t="str">
        <f t="shared" si="10"/>
        <v>2025/6/5</v>
      </c>
      <c r="AG50" s="51">
        <f t="shared" si="11"/>
        <v>0</v>
      </c>
      <c r="AH50" s="51">
        <f t="shared" si="12"/>
        <v>0</v>
      </c>
      <c r="AI50" s="51"/>
      <c r="AJ50" s="51"/>
      <c r="AK50" s="51" t="s">
        <v>224</v>
      </c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</row>
    <row r="51" spans="1:63" ht="30" customHeight="1">
      <c r="A51" s="48">
        <v>50</v>
      </c>
      <c r="B51" s="49" t="s">
        <v>90</v>
      </c>
      <c r="C51" s="48">
        <f t="shared" si="0"/>
        <v>2020</v>
      </c>
      <c r="D51" s="50">
        <v>44080</v>
      </c>
      <c r="E51" s="49" t="s">
        <v>231</v>
      </c>
      <c r="F51" s="48" t="s">
        <v>37</v>
      </c>
      <c r="G51" s="48" t="s">
        <v>63</v>
      </c>
      <c r="H51" s="48">
        <v>5</v>
      </c>
      <c r="I51" s="48">
        <v>5</v>
      </c>
      <c r="J51" s="48"/>
      <c r="K51" s="48" t="str">
        <f t="shared" si="13"/>
        <v>完结</v>
      </c>
      <c r="L51" s="48">
        <v>5</v>
      </c>
      <c r="M51" s="48"/>
      <c r="N51" s="48"/>
      <c r="O51" s="48" t="str">
        <f t="shared" si="8"/>
        <v>完</v>
      </c>
      <c r="P51" s="48"/>
      <c r="Q51" s="48"/>
      <c r="R51" s="48"/>
      <c r="S51" s="48"/>
      <c r="T51" s="48"/>
      <c r="U51" s="59"/>
      <c r="V51" s="48"/>
      <c r="W51" s="48"/>
      <c r="X51" s="48"/>
      <c r="Y51" s="48"/>
      <c r="Z51" s="48" t="s">
        <v>232</v>
      </c>
      <c r="AA51" s="48" t="s">
        <v>40</v>
      </c>
      <c r="AB51" s="48" t="s">
        <v>216</v>
      </c>
      <c r="AC51" s="48" t="s">
        <v>70</v>
      </c>
      <c r="AD51" s="48" t="s">
        <v>43</v>
      </c>
      <c r="AE51" s="48" t="e">
        <f t="shared" si="9"/>
        <v>#N/A</v>
      </c>
      <c r="AF51" s="48" t="e">
        <f t="shared" si="10"/>
        <v>#N/A</v>
      </c>
      <c r="AG51" s="48" t="e">
        <f t="shared" si="11"/>
        <v>#N/A</v>
      </c>
      <c r="AH51" s="48" t="e">
        <f t="shared" si="12"/>
        <v>#N/A</v>
      </c>
      <c r="AI51" s="48"/>
      <c r="AJ51" s="48"/>
      <c r="AK51" s="48" t="s">
        <v>229</v>
      </c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</row>
    <row r="52" spans="1:63" ht="30" customHeight="1">
      <c r="A52" s="51">
        <v>51</v>
      </c>
      <c r="B52" s="52" t="s">
        <v>49</v>
      </c>
      <c r="C52" s="51">
        <f t="shared" si="0"/>
        <v>2020</v>
      </c>
      <c r="D52" s="53">
        <v>44080</v>
      </c>
      <c r="E52" s="52" t="s">
        <v>233</v>
      </c>
      <c r="F52" s="51" t="s">
        <v>37</v>
      </c>
      <c r="G52" s="51" t="s">
        <v>47</v>
      </c>
      <c r="H52" s="51">
        <v>5</v>
      </c>
      <c r="I52" s="51">
        <v>5</v>
      </c>
      <c r="J52" s="51"/>
      <c r="K52" s="51" t="str">
        <f t="shared" si="13"/>
        <v>完结</v>
      </c>
      <c r="L52" s="51">
        <v>5</v>
      </c>
      <c r="M52" s="51"/>
      <c r="N52" s="51"/>
      <c r="O52" s="51" t="str">
        <f t="shared" si="8"/>
        <v>完</v>
      </c>
      <c r="P52" s="51"/>
      <c r="Q52" s="51"/>
      <c r="R52" s="51"/>
      <c r="S52" s="51"/>
      <c r="T52" s="51"/>
      <c r="U52" s="59"/>
      <c r="V52" s="51"/>
      <c r="W52" s="51"/>
      <c r="X52" s="51"/>
      <c r="Y52" s="51"/>
      <c r="Z52" s="51" t="s">
        <v>234</v>
      </c>
      <c r="AA52" s="51" t="s">
        <v>40</v>
      </c>
      <c r="AB52" s="51" t="s">
        <v>216</v>
      </c>
      <c r="AC52" s="51" t="s">
        <v>70</v>
      </c>
      <c r="AD52" s="51" t="s">
        <v>43</v>
      </c>
      <c r="AE52" s="51" t="e">
        <f t="shared" si="9"/>
        <v>#N/A</v>
      </c>
      <c r="AF52" s="51" t="e">
        <f t="shared" si="10"/>
        <v>#N/A</v>
      </c>
      <c r="AG52" s="51" t="e">
        <f t="shared" si="11"/>
        <v>#N/A</v>
      </c>
      <c r="AH52" s="51" t="e">
        <f t="shared" si="12"/>
        <v>#N/A</v>
      </c>
      <c r="AI52" s="51"/>
      <c r="AJ52" s="51"/>
      <c r="AK52" s="51" t="s">
        <v>224</v>
      </c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</row>
    <row r="53" spans="1:63" ht="30" customHeight="1">
      <c r="A53" s="54">
        <v>52</v>
      </c>
      <c r="B53" s="42" t="s">
        <v>77</v>
      </c>
      <c r="C53" s="54">
        <f t="shared" si="0"/>
        <v>2020</v>
      </c>
      <c r="D53" s="55">
        <v>44082</v>
      </c>
      <c r="E53" s="42" t="s">
        <v>235</v>
      </c>
      <c r="F53" s="54" t="s">
        <v>81</v>
      </c>
      <c r="G53" s="54" t="s">
        <v>123</v>
      </c>
      <c r="H53" s="54">
        <v>8</v>
      </c>
      <c r="I53" s="54">
        <v>8</v>
      </c>
      <c r="J53" s="54"/>
      <c r="K53" s="54" t="str">
        <f t="shared" si="13"/>
        <v>完结</v>
      </c>
      <c r="L53" s="54">
        <v>8</v>
      </c>
      <c r="M53" s="54"/>
      <c r="N53" s="54"/>
      <c r="O53" s="54" t="str">
        <f t="shared" si="8"/>
        <v>完</v>
      </c>
      <c r="P53" s="54"/>
      <c r="Q53" s="54"/>
      <c r="R53" s="54"/>
      <c r="S53" s="54"/>
      <c r="T53" s="54"/>
      <c r="U53" s="59"/>
      <c r="V53" s="54"/>
      <c r="W53" s="54"/>
      <c r="X53" s="54"/>
      <c r="Y53" s="54"/>
      <c r="Z53" s="54" t="s">
        <v>195</v>
      </c>
      <c r="AA53" s="54" t="s">
        <v>166</v>
      </c>
      <c r="AB53" s="54" t="s">
        <v>173</v>
      </c>
      <c r="AC53" s="54" t="s">
        <v>173</v>
      </c>
      <c r="AD53" s="54" t="s">
        <v>43</v>
      </c>
      <c r="AE53" s="54" t="e">
        <f t="shared" si="9"/>
        <v>#N/A</v>
      </c>
      <c r="AF53" s="54" t="e">
        <f t="shared" si="10"/>
        <v>#N/A</v>
      </c>
      <c r="AG53" s="54" t="e">
        <f t="shared" si="11"/>
        <v>#N/A</v>
      </c>
      <c r="AH53" s="54" t="e">
        <f t="shared" si="12"/>
        <v>#N/A</v>
      </c>
      <c r="AI53" s="54"/>
      <c r="AJ53" s="54"/>
      <c r="AK53" s="54" t="s">
        <v>236</v>
      </c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</row>
    <row r="54" spans="1:63" ht="30" customHeight="1">
      <c r="A54" s="51">
        <v>53</v>
      </c>
      <c r="B54" s="52" t="s">
        <v>130</v>
      </c>
      <c r="C54" s="51">
        <f t="shared" si="0"/>
        <v>2020</v>
      </c>
      <c r="D54" s="53">
        <v>44082</v>
      </c>
      <c r="E54" s="52" t="s">
        <v>237</v>
      </c>
      <c r="F54" s="51" t="s">
        <v>37</v>
      </c>
      <c r="G54" s="51" t="s">
        <v>109</v>
      </c>
      <c r="H54" s="51">
        <v>10</v>
      </c>
      <c r="I54" s="51">
        <v>10</v>
      </c>
      <c r="J54" s="51"/>
      <c r="K54" s="51" t="str">
        <f t="shared" si="13"/>
        <v>完结</v>
      </c>
      <c r="L54" s="51">
        <v>10</v>
      </c>
      <c r="M54" s="51"/>
      <c r="N54" s="51"/>
      <c r="O54" s="51" t="str">
        <f t="shared" si="8"/>
        <v>完</v>
      </c>
      <c r="P54" s="51"/>
      <c r="Q54" s="51"/>
      <c r="R54" s="51"/>
      <c r="S54" s="51"/>
      <c r="T54" s="51"/>
      <c r="U54" s="59"/>
      <c r="V54" s="51"/>
      <c r="W54" s="51"/>
      <c r="X54" s="51"/>
      <c r="Y54" s="51"/>
      <c r="Z54" s="51" t="s">
        <v>178</v>
      </c>
      <c r="AA54" s="51" t="s">
        <v>166</v>
      </c>
      <c r="AB54" s="51" t="s">
        <v>173</v>
      </c>
      <c r="AC54" s="51" t="s">
        <v>173</v>
      </c>
      <c r="AD54" s="51" t="s">
        <v>43</v>
      </c>
      <c r="AE54" s="51" t="e">
        <f t="shared" si="9"/>
        <v>#N/A</v>
      </c>
      <c r="AF54" s="51" t="e">
        <f t="shared" si="10"/>
        <v>#N/A</v>
      </c>
      <c r="AG54" s="51" t="e">
        <f t="shared" si="11"/>
        <v>#N/A</v>
      </c>
      <c r="AH54" s="51" t="e">
        <f t="shared" si="12"/>
        <v>#N/A</v>
      </c>
      <c r="AI54" s="51"/>
      <c r="AJ54" s="51"/>
      <c r="AK54" s="51" t="s">
        <v>44</v>
      </c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</row>
    <row r="55" spans="1:63" ht="30" customHeight="1">
      <c r="A55" s="45">
        <v>54</v>
      </c>
      <c r="B55" s="46" t="s">
        <v>90</v>
      </c>
      <c r="C55" s="45">
        <f t="shared" si="0"/>
        <v>2020</v>
      </c>
      <c r="D55" s="47">
        <v>44085</v>
      </c>
      <c r="E55" s="46" t="s">
        <v>232</v>
      </c>
      <c r="F55" s="45" t="s">
        <v>37</v>
      </c>
      <c r="G55" s="45" t="s">
        <v>63</v>
      </c>
      <c r="H55" s="45">
        <v>6</v>
      </c>
      <c r="I55" s="45">
        <v>6</v>
      </c>
      <c r="J55" s="45"/>
      <c r="K55" s="45" t="str">
        <f t="shared" si="13"/>
        <v>完结</v>
      </c>
      <c r="L55" s="45">
        <v>4</v>
      </c>
      <c r="M55" s="45"/>
      <c r="N55" s="45"/>
      <c r="O55" s="45" t="str">
        <f t="shared" si="8"/>
        <v>未</v>
      </c>
      <c r="P55" s="45" t="s">
        <v>40</v>
      </c>
      <c r="Q55" s="45" t="s">
        <v>216</v>
      </c>
      <c r="R55" s="45" t="s">
        <v>70</v>
      </c>
      <c r="S55" s="45" t="s">
        <v>43</v>
      </c>
      <c r="T55" s="45"/>
      <c r="U55" s="58"/>
      <c r="V55" s="45"/>
      <c r="W55" s="45"/>
      <c r="X55" s="45"/>
      <c r="Y55" s="45"/>
      <c r="Z55" s="45" t="s">
        <v>238</v>
      </c>
      <c r="AA55" s="45" t="s">
        <v>166</v>
      </c>
      <c r="AB55" s="45" t="s">
        <v>172</v>
      </c>
      <c r="AC55" s="45" t="s">
        <v>173</v>
      </c>
      <c r="AD55" s="45" t="s">
        <v>43</v>
      </c>
      <c r="AE55" s="45" t="str">
        <f t="shared" si="9"/>
        <v>省版</v>
      </c>
      <c r="AF55" s="45" t="str">
        <f t="shared" si="10"/>
        <v>2025/5/29</v>
      </c>
      <c r="AG55" s="45" t="str">
        <f t="shared" si="11"/>
        <v>2025/5/30</v>
      </c>
      <c r="AH55" s="45" t="str">
        <f t="shared" si="12"/>
        <v>已发证</v>
      </c>
      <c r="AI55" s="45"/>
      <c r="AJ55" s="45"/>
      <c r="AK55" s="45" t="s">
        <v>229</v>
      </c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</row>
    <row r="56" spans="1:63" ht="30" customHeight="1">
      <c r="A56" s="51">
        <v>55</v>
      </c>
      <c r="B56" s="52" t="s">
        <v>64</v>
      </c>
      <c r="C56" s="51">
        <f t="shared" si="0"/>
        <v>2020</v>
      </c>
      <c r="D56" s="53">
        <v>44087</v>
      </c>
      <c r="E56" s="52" t="s">
        <v>239</v>
      </c>
      <c r="F56" s="51" t="s">
        <v>37</v>
      </c>
      <c r="G56" s="51" t="s">
        <v>88</v>
      </c>
      <c r="H56" s="51">
        <v>10</v>
      </c>
      <c r="I56" s="51">
        <v>10</v>
      </c>
      <c r="J56" s="51"/>
      <c r="K56" s="51" t="str">
        <f t="shared" si="13"/>
        <v>完结</v>
      </c>
      <c r="L56" s="51">
        <v>10</v>
      </c>
      <c r="M56" s="51"/>
      <c r="N56" s="51"/>
      <c r="O56" s="51" t="str">
        <f t="shared" si="8"/>
        <v>完</v>
      </c>
      <c r="P56" s="51" t="s">
        <v>166</v>
      </c>
      <c r="Q56" s="51" t="s">
        <v>70</v>
      </c>
      <c r="R56" s="51" t="s">
        <v>70</v>
      </c>
      <c r="S56" s="51" t="s">
        <v>43</v>
      </c>
      <c r="T56" s="51"/>
      <c r="U56" s="59"/>
      <c r="V56" s="51"/>
      <c r="W56" s="51"/>
      <c r="X56" s="51"/>
      <c r="Y56" s="51"/>
      <c r="Z56" s="51" t="s">
        <v>215</v>
      </c>
      <c r="AA56" s="51" t="s">
        <v>40</v>
      </c>
      <c r="AB56" s="51" t="s">
        <v>216</v>
      </c>
      <c r="AC56" s="51" t="s">
        <v>70</v>
      </c>
      <c r="AD56" s="51" t="s">
        <v>43</v>
      </c>
      <c r="AE56" s="51" t="str">
        <f t="shared" si="9"/>
        <v>国版</v>
      </c>
      <c r="AF56" s="51" t="str">
        <f t="shared" si="10"/>
        <v>2025/5/30</v>
      </c>
      <c r="AG56" s="51" t="str">
        <f t="shared" si="11"/>
        <v>2025/5/30</v>
      </c>
      <c r="AH56" s="51" t="str">
        <f t="shared" si="12"/>
        <v>已发证</v>
      </c>
      <c r="AI56" s="51"/>
      <c r="AJ56" s="51"/>
      <c r="AK56" s="51" t="s">
        <v>76</v>
      </c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</row>
    <row r="57" spans="1:63" ht="30" customHeight="1">
      <c r="A57" s="48">
        <v>56</v>
      </c>
      <c r="B57" s="49" t="s">
        <v>49</v>
      </c>
      <c r="C57" s="48">
        <f t="shared" si="0"/>
        <v>2020</v>
      </c>
      <c r="D57" s="50">
        <v>44088</v>
      </c>
      <c r="E57" s="49" t="s">
        <v>121</v>
      </c>
      <c r="F57" s="48" t="s">
        <v>81</v>
      </c>
      <c r="G57" s="48" t="s">
        <v>47</v>
      </c>
      <c r="H57" s="48">
        <v>5</v>
      </c>
      <c r="I57" s="48">
        <v>5</v>
      </c>
      <c r="J57" s="48"/>
      <c r="K57" s="48" t="str">
        <f t="shared" si="13"/>
        <v>完结</v>
      </c>
      <c r="L57" s="48">
        <v>5</v>
      </c>
      <c r="M57" s="48"/>
      <c r="N57" s="48"/>
      <c r="O57" s="48" t="str">
        <f t="shared" si="8"/>
        <v>完</v>
      </c>
      <c r="P57" s="48" t="s">
        <v>40</v>
      </c>
      <c r="Q57" s="48" t="s">
        <v>67</v>
      </c>
      <c r="R57" s="48">
        <v>0</v>
      </c>
      <c r="S57" s="48">
        <v>0</v>
      </c>
      <c r="T57" s="48"/>
      <c r="U57" s="59"/>
      <c r="V57" s="48"/>
      <c r="W57" s="48"/>
      <c r="X57" s="48"/>
      <c r="Y57" s="48"/>
      <c r="Z57" s="48" t="s">
        <v>240</v>
      </c>
      <c r="AA57" s="48" t="s">
        <v>40</v>
      </c>
      <c r="AB57" s="48" t="s">
        <v>216</v>
      </c>
      <c r="AC57" s="48" t="s">
        <v>70</v>
      </c>
      <c r="AD57" s="48" t="s">
        <v>43</v>
      </c>
      <c r="AE57" s="48" t="str">
        <f t="shared" si="9"/>
        <v>省版</v>
      </c>
      <c r="AF57" s="48" t="str">
        <f t="shared" si="10"/>
        <v>2025/6/5</v>
      </c>
      <c r="AG57" s="48">
        <f t="shared" si="11"/>
        <v>0</v>
      </c>
      <c r="AH57" s="48">
        <f t="shared" si="12"/>
        <v>0</v>
      </c>
      <c r="AI57" s="48"/>
      <c r="AJ57" s="48"/>
      <c r="AK57" s="48" t="s">
        <v>224</v>
      </c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</row>
    <row r="58" spans="1:63" ht="30" customHeight="1">
      <c r="A58" s="51">
        <v>57</v>
      </c>
      <c r="B58" s="52" t="s">
        <v>73</v>
      </c>
      <c r="C58" s="51">
        <f t="shared" si="0"/>
        <v>2020</v>
      </c>
      <c r="D58" s="53">
        <v>44090</v>
      </c>
      <c r="E58" s="52" t="s">
        <v>240</v>
      </c>
      <c r="F58" s="51" t="s">
        <v>54</v>
      </c>
      <c r="G58" s="51" t="s">
        <v>72</v>
      </c>
      <c r="H58" s="51">
        <v>7</v>
      </c>
      <c r="I58" s="51">
        <v>7</v>
      </c>
      <c r="J58" s="51"/>
      <c r="K58" s="51" t="str">
        <f t="shared" si="13"/>
        <v>完结</v>
      </c>
      <c r="L58" s="51">
        <v>7</v>
      </c>
      <c r="M58" s="51"/>
      <c r="N58" s="51"/>
      <c r="O58" s="51" t="str">
        <f t="shared" si="8"/>
        <v>完</v>
      </c>
      <c r="P58" s="51" t="s">
        <v>40</v>
      </c>
      <c r="Q58" s="51" t="s">
        <v>216</v>
      </c>
      <c r="R58" s="51" t="s">
        <v>70</v>
      </c>
      <c r="S58" s="51" t="s">
        <v>43</v>
      </c>
      <c r="T58" s="51"/>
      <c r="U58" s="59"/>
      <c r="V58" s="51"/>
      <c r="W58" s="51"/>
      <c r="X58" s="51"/>
      <c r="Y58" s="51"/>
      <c r="Z58" s="51" t="s">
        <v>241</v>
      </c>
      <c r="AA58" s="51" t="s">
        <v>40</v>
      </c>
      <c r="AB58" s="51" t="s">
        <v>216</v>
      </c>
      <c r="AC58" s="51" t="s">
        <v>70</v>
      </c>
      <c r="AD58" s="51" t="s">
        <v>43</v>
      </c>
      <c r="AE58" s="51" t="str">
        <f t="shared" si="9"/>
        <v>省版</v>
      </c>
      <c r="AF58" s="51" t="str">
        <f t="shared" si="10"/>
        <v>2025/5/29</v>
      </c>
      <c r="AG58" s="51" t="str">
        <f t="shared" si="11"/>
        <v>2025/5/30</v>
      </c>
      <c r="AH58" s="51" t="str">
        <f t="shared" si="12"/>
        <v>已发证</v>
      </c>
      <c r="AI58" s="51"/>
      <c r="AJ58" s="51"/>
      <c r="AK58" s="51" t="s">
        <v>76</v>
      </c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</row>
    <row r="59" spans="1:63" ht="30" customHeight="1">
      <c r="A59" s="54">
        <v>58</v>
      </c>
      <c r="B59" s="42" t="s">
        <v>90</v>
      </c>
      <c r="C59" s="54">
        <f t="shared" si="0"/>
        <v>2020</v>
      </c>
      <c r="D59" s="55">
        <v>44094</v>
      </c>
      <c r="E59" s="42" t="s">
        <v>242</v>
      </c>
      <c r="F59" s="54" t="s">
        <v>37</v>
      </c>
      <c r="G59" s="54" t="s">
        <v>63</v>
      </c>
      <c r="H59" s="54">
        <v>5</v>
      </c>
      <c r="I59" s="54">
        <v>5</v>
      </c>
      <c r="J59" s="54"/>
      <c r="K59" s="54" t="str">
        <f t="shared" si="13"/>
        <v>完结</v>
      </c>
      <c r="L59" s="54">
        <v>5</v>
      </c>
      <c r="M59" s="54"/>
      <c r="N59" s="54"/>
      <c r="O59" s="54" t="str">
        <f t="shared" si="8"/>
        <v>完</v>
      </c>
      <c r="P59" s="54"/>
      <c r="Q59" s="54"/>
      <c r="R59" s="54"/>
      <c r="S59" s="54"/>
      <c r="T59" s="54"/>
      <c r="U59" s="59"/>
      <c r="V59" s="54"/>
      <c r="W59" s="54"/>
      <c r="X59" s="54"/>
      <c r="Y59" s="54"/>
      <c r="Z59" s="54" t="s">
        <v>243</v>
      </c>
      <c r="AA59" s="54"/>
      <c r="AB59" s="54" t="s">
        <v>70</v>
      </c>
      <c r="AC59" s="54"/>
      <c r="AD59" s="54" t="s">
        <v>71</v>
      </c>
      <c r="AE59" s="54" t="e">
        <f t="shared" si="9"/>
        <v>#N/A</v>
      </c>
      <c r="AF59" s="54" t="e">
        <f t="shared" si="10"/>
        <v>#N/A</v>
      </c>
      <c r="AG59" s="54" t="e">
        <f t="shared" si="11"/>
        <v>#N/A</v>
      </c>
      <c r="AH59" s="54" t="e">
        <f t="shared" si="12"/>
        <v>#N/A</v>
      </c>
      <c r="AI59" s="54"/>
      <c r="AJ59" s="54"/>
      <c r="AK59" s="54" t="s">
        <v>229</v>
      </c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</row>
    <row r="60" spans="1:63" ht="30" customHeight="1">
      <c r="A60" s="51">
        <v>59</v>
      </c>
      <c r="B60" s="52" t="s">
        <v>49</v>
      </c>
      <c r="C60" s="51">
        <f t="shared" si="0"/>
        <v>2020</v>
      </c>
      <c r="D60" s="53">
        <v>44096</v>
      </c>
      <c r="E60" s="52" t="s">
        <v>84</v>
      </c>
      <c r="F60" s="51" t="s">
        <v>81</v>
      </c>
      <c r="G60" s="51" t="s">
        <v>47</v>
      </c>
      <c r="H60" s="51">
        <v>5</v>
      </c>
      <c r="I60" s="51">
        <v>5</v>
      </c>
      <c r="J60" s="51"/>
      <c r="K60" s="51" t="str">
        <f t="shared" si="13"/>
        <v>完结</v>
      </c>
      <c r="L60" s="51">
        <v>5</v>
      </c>
      <c r="M60" s="51"/>
      <c r="N60" s="51"/>
      <c r="O60" s="51" t="str">
        <f t="shared" si="8"/>
        <v>完</v>
      </c>
      <c r="P60" s="51" t="s">
        <v>40</v>
      </c>
      <c r="Q60" s="51" t="s">
        <v>67</v>
      </c>
      <c r="R60" s="51">
        <v>0</v>
      </c>
      <c r="S60" s="51">
        <v>0</v>
      </c>
      <c r="T60" s="51"/>
      <c r="U60" s="59"/>
      <c r="V60" s="51"/>
      <c r="W60" s="51"/>
      <c r="X60" s="51"/>
      <c r="Y60" s="51"/>
      <c r="Z60" s="51" t="s">
        <v>244</v>
      </c>
      <c r="AA60" s="51" t="s">
        <v>166</v>
      </c>
      <c r="AB60" s="51" t="s">
        <v>245</v>
      </c>
      <c r="AC60" s="51" t="s">
        <v>246</v>
      </c>
      <c r="AD60" s="51" t="s">
        <v>43</v>
      </c>
      <c r="AE60" s="51" t="str">
        <f t="shared" si="9"/>
        <v>省版</v>
      </c>
      <c r="AF60" s="51" t="str">
        <f t="shared" si="10"/>
        <v>2025/6/5</v>
      </c>
      <c r="AG60" s="51">
        <f t="shared" si="11"/>
        <v>0</v>
      </c>
      <c r="AH60" s="51">
        <f t="shared" si="12"/>
        <v>0</v>
      </c>
      <c r="AI60" s="51"/>
      <c r="AJ60" s="51"/>
      <c r="AK60" s="51" t="s">
        <v>236</v>
      </c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</row>
    <row r="61" spans="1:63" ht="30" customHeight="1">
      <c r="A61" s="45">
        <v>60</v>
      </c>
      <c r="B61" s="46" t="s">
        <v>90</v>
      </c>
      <c r="C61" s="45">
        <f t="shared" si="0"/>
        <v>2020</v>
      </c>
      <c r="D61" s="47">
        <v>44100</v>
      </c>
      <c r="E61" s="46" t="s">
        <v>247</v>
      </c>
      <c r="F61" s="45" t="s">
        <v>37</v>
      </c>
      <c r="G61" s="45" t="s">
        <v>63</v>
      </c>
      <c r="H61" s="45">
        <v>4</v>
      </c>
      <c r="I61" s="45">
        <v>4</v>
      </c>
      <c r="J61" s="45"/>
      <c r="K61" s="45" t="str">
        <f t="shared" si="13"/>
        <v>完结</v>
      </c>
      <c r="L61" s="45">
        <v>4</v>
      </c>
      <c r="M61" s="45"/>
      <c r="N61" s="45"/>
      <c r="O61" s="45" t="str">
        <f t="shared" si="8"/>
        <v>完</v>
      </c>
      <c r="P61" s="45"/>
      <c r="Q61" s="45"/>
      <c r="R61" s="45"/>
      <c r="S61" s="45"/>
      <c r="T61" s="45"/>
      <c r="U61" s="58"/>
      <c r="V61" s="45"/>
      <c r="W61" s="45"/>
      <c r="X61" s="45"/>
      <c r="Y61" s="45"/>
      <c r="Z61" s="45" t="s">
        <v>248</v>
      </c>
      <c r="AA61" s="45" t="s">
        <v>166</v>
      </c>
      <c r="AB61" s="45" t="s">
        <v>249</v>
      </c>
      <c r="AC61" s="45" t="s">
        <v>249</v>
      </c>
      <c r="AD61" s="45" t="s">
        <v>43</v>
      </c>
      <c r="AE61" s="45" t="e">
        <f t="shared" si="9"/>
        <v>#N/A</v>
      </c>
      <c r="AF61" s="45" t="e">
        <f t="shared" si="10"/>
        <v>#N/A</v>
      </c>
      <c r="AG61" s="45" t="e">
        <f t="shared" si="11"/>
        <v>#N/A</v>
      </c>
      <c r="AH61" s="45" t="e">
        <f t="shared" si="12"/>
        <v>#N/A</v>
      </c>
      <c r="AI61" s="45"/>
      <c r="AJ61" s="45"/>
      <c r="AK61" s="45" t="s">
        <v>229</v>
      </c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</row>
    <row r="62" spans="1:63" ht="30" customHeight="1">
      <c r="A62" s="51">
        <v>61</v>
      </c>
      <c r="B62" s="52" t="s">
        <v>35</v>
      </c>
      <c r="C62" s="51">
        <f t="shared" si="0"/>
        <v>2020</v>
      </c>
      <c r="D62" s="53">
        <v>44103</v>
      </c>
      <c r="E62" s="52" t="s">
        <v>250</v>
      </c>
      <c r="F62" s="51" t="s">
        <v>107</v>
      </c>
      <c r="G62" s="51" t="s">
        <v>72</v>
      </c>
      <c r="H62" s="51">
        <v>10</v>
      </c>
      <c r="I62" s="51">
        <v>1</v>
      </c>
      <c r="J62" s="51"/>
      <c r="K62" s="51" t="s">
        <v>140</v>
      </c>
      <c r="L62" s="51"/>
      <c r="M62" s="51"/>
      <c r="N62" s="51"/>
      <c r="O62" s="51" t="str">
        <f t="shared" si="8"/>
        <v>未</v>
      </c>
      <c r="P62" s="51"/>
      <c r="Q62" s="51"/>
      <c r="R62" s="51"/>
      <c r="S62" s="51"/>
      <c r="T62" s="51"/>
      <c r="U62" s="59"/>
      <c r="V62" s="51"/>
      <c r="W62" s="51"/>
      <c r="X62" s="51"/>
      <c r="Y62" s="51"/>
      <c r="Z62" s="51" t="s">
        <v>251</v>
      </c>
      <c r="AA62" s="51" t="s">
        <v>166</v>
      </c>
      <c r="AB62" s="51" t="s">
        <v>172</v>
      </c>
      <c r="AC62" s="51" t="s">
        <v>172</v>
      </c>
      <c r="AD62" s="51" t="s">
        <v>43</v>
      </c>
      <c r="AE62" s="51" t="e">
        <f t="shared" si="9"/>
        <v>#N/A</v>
      </c>
      <c r="AF62" s="51" t="e">
        <f t="shared" si="10"/>
        <v>#N/A</v>
      </c>
      <c r="AG62" s="51" t="e">
        <f t="shared" si="11"/>
        <v>#N/A</v>
      </c>
      <c r="AH62" s="51" t="e">
        <f t="shared" si="12"/>
        <v>#N/A</v>
      </c>
      <c r="AI62" s="51"/>
      <c r="AJ62" s="51"/>
      <c r="AK62" s="51" t="s">
        <v>143</v>
      </c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</row>
    <row r="63" spans="1:63" ht="30" customHeight="1">
      <c r="A63" s="48">
        <v>62</v>
      </c>
      <c r="B63" s="49" t="s">
        <v>49</v>
      </c>
      <c r="C63" s="48">
        <f t="shared" si="0"/>
        <v>2020</v>
      </c>
      <c r="D63" s="50">
        <v>44104</v>
      </c>
      <c r="E63" s="49" t="s">
        <v>198</v>
      </c>
      <c r="F63" s="48" t="s">
        <v>81</v>
      </c>
      <c r="G63" s="48" t="s">
        <v>47</v>
      </c>
      <c r="H63" s="48">
        <v>4</v>
      </c>
      <c r="I63" s="48">
        <v>4</v>
      </c>
      <c r="J63" s="48"/>
      <c r="K63" s="48" t="str">
        <f t="shared" ref="K63:K71" si="14">IF(H63=I63,"完结",IF(H63&gt;I63,"未完结"))</f>
        <v>完结</v>
      </c>
      <c r="L63" s="48">
        <v>4</v>
      </c>
      <c r="M63" s="48"/>
      <c r="N63" s="48"/>
      <c r="O63" s="48" t="str">
        <f t="shared" si="8"/>
        <v>完</v>
      </c>
      <c r="P63" s="48" t="s">
        <v>40</v>
      </c>
      <c r="Q63" s="48" t="s">
        <v>199</v>
      </c>
      <c r="R63" s="48" t="s">
        <v>42</v>
      </c>
      <c r="S63" s="48" t="s">
        <v>43</v>
      </c>
      <c r="T63" s="48"/>
      <c r="U63" s="59"/>
      <c r="V63" s="48"/>
      <c r="W63" s="48"/>
      <c r="X63" s="48"/>
      <c r="Y63" s="48"/>
      <c r="Z63" s="48" t="s">
        <v>252</v>
      </c>
      <c r="AA63" s="48" t="s">
        <v>166</v>
      </c>
      <c r="AB63" s="48" t="s">
        <v>253</v>
      </c>
      <c r="AC63" s="48" t="s">
        <v>254</v>
      </c>
      <c r="AD63" s="48" t="s">
        <v>43</v>
      </c>
      <c r="AE63" s="48" t="str">
        <f t="shared" si="9"/>
        <v>省版</v>
      </c>
      <c r="AF63" s="48" t="str">
        <f t="shared" si="10"/>
        <v>2025/6/3</v>
      </c>
      <c r="AG63" s="48" t="str">
        <f t="shared" si="11"/>
        <v>2025/7/4</v>
      </c>
      <c r="AH63" s="48" t="str">
        <f t="shared" si="12"/>
        <v>已发证</v>
      </c>
      <c r="AI63" s="48"/>
      <c r="AJ63" s="48"/>
      <c r="AK63" s="48" t="s">
        <v>224</v>
      </c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</row>
    <row r="64" spans="1:63" ht="30" customHeight="1">
      <c r="A64" s="51">
        <v>63</v>
      </c>
      <c r="B64" s="52" t="s">
        <v>49</v>
      </c>
      <c r="C64" s="51">
        <f t="shared" si="0"/>
        <v>2020</v>
      </c>
      <c r="D64" s="53">
        <v>44104</v>
      </c>
      <c r="E64" s="52" t="s">
        <v>92</v>
      </c>
      <c r="F64" s="51" t="s">
        <v>81</v>
      </c>
      <c r="G64" s="51" t="s">
        <v>72</v>
      </c>
      <c r="H64" s="51">
        <v>10</v>
      </c>
      <c r="I64" s="51">
        <v>10</v>
      </c>
      <c r="J64" s="51"/>
      <c r="K64" s="51" t="str">
        <f t="shared" si="14"/>
        <v>完结</v>
      </c>
      <c r="L64" s="51">
        <v>10</v>
      </c>
      <c r="M64" s="51"/>
      <c r="N64" s="51"/>
      <c r="O64" s="51" t="str">
        <f t="shared" si="8"/>
        <v>完</v>
      </c>
      <c r="P64" s="51" t="s">
        <v>40</v>
      </c>
      <c r="Q64" s="51" t="s">
        <v>67</v>
      </c>
      <c r="R64" s="51">
        <v>0</v>
      </c>
      <c r="S64" s="51">
        <v>0</v>
      </c>
      <c r="T64" s="51"/>
      <c r="U64" s="59"/>
      <c r="V64" s="51"/>
      <c r="W64" s="51"/>
      <c r="X64" s="51"/>
      <c r="Y64" s="51"/>
      <c r="Z64" s="51" t="s">
        <v>255</v>
      </c>
      <c r="AA64" s="51" t="s">
        <v>166</v>
      </c>
      <c r="AB64" s="51" t="s">
        <v>172</v>
      </c>
      <c r="AC64" s="51" t="s">
        <v>173</v>
      </c>
      <c r="AD64" s="51" t="s">
        <v>43</v>
      </c>
      <c r="AE64" s="51" t="str">
        <f t="shared" si="9"/>
        <v>省版</v>
      </c>
      <c r="AF64" s="51" t="str">
        <f t="shared" si="10"/>
        <v>2025/6/5</v>
      </c>
      <c r="AG64" s="51">
        <f t="shared" si="11"/>
        <v>0</v>
      </c>
      <c r="AH64" s="51">
        <f t="shared" si="12"/>
        <v>0</v>
      </c>
      <c r="AI64" s="51"/>
      <c r="AJ64" s="51"/>
      <c r="AK64" s="51" t="s">
        <v>224</v>
      </c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</row>
    <row r="65" spans="1:63" ht="30" customHeight="1">
      <c r="A65" s="54">
        <v>64</v>
      </c>
      <c r="B65" s="42" t="s">
        <v>61</v>
      </c>
      <c r="C65" s="54">
        <f t="shared" si="0"/>
        <v>2020</v>
      </c>
      <c r="D65" s="55">
        <v>44106</v>
      </c>
      <c r="E65" s="42" t="s">
        <v>256</v>
      </c>
      <c r="F65" s="54" t="s">
        <v>37</v>
      </c>
      <c r="G65" s="54" t="s">
        <v>123</v>
      </c>
      <c r="H65" s="54">
        <v>6</v>
      </c>
      <c r="I65" s="54">
        <v>6</v>
      </c>
      <c r="J65" s="54"/>
      <c r="K65" s="54" t="str">
        <f t="shared" si="14"/>
        <v>完结</v>
      </c>
      <c r="L65" s="54">
        <v>0</v>
      </c>
      <c r="M65" s="54"/>
      <c r="N65" s="54"/>
      <c r="O65" s="54" t="str">
        <f t="shared" si="8"/>
        <v>未</v>
      </c>
      <c r="P65" s="54"/>
      <c r="Q65" s="54"/>
      <c r="R65" s="54"/>
      <c r="S65" s="54"/>
      <c r="T65" s="54"/>
      <c r="U65" s="59"/>
      <c r="V65" s="54"/>
      <c r="W65" s="54"/>
      <c r="X65" s="54"/>
      <c r="Y65" s="54"/>
      <c r="Z65" s="54" t="s">
        <v>257</v>
      </c>
      <c r="AA65" s="54"/>
      <c r="AB65" s="54" t="s">
        <v>172</v>
      </c>
      <c r="AC65" s="54"/>
      <c r="AD65" s="54" t="s">
        <v>258</v>
      </c>
      <c r="AE65" s="54" t="e">
        <f t="shared" si="9"/>
        <v>#N/A</v>
      </c>
      <c r="AF65" s="54" t="e">
        <f t="shared" si="10"/>
        <v>#N/A</v>
      </c>
      <c r="AG65" s="54" t="e">
        <f t="shared" si="11"/>
        <v>#N/A</v>
      </c>
      <c r="AH65" s="54" t="e">
        <f t="shared" si="12"/>
        <v>#N/A</v>
      </c>
      <c r="AI65" s="54"/>
      <c r="AJ65" s="54"/>
      <c r="AK65" s="54" t="s">
        <v>191</v>
      </c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</row>
    <row r="66" spans="1:63" ht="30" customHeight="1">
      <c r="A66" s="51">
        <v>65</v>
      </c>
      <c r="B66" s="52" t="s">
        <v>90</v>
      </c>
      <c r="C66" s="51">
        <f t="shared" ref="C66:C129" si="15">YEAR(D66)</f>
        <v>2020</v>
      </c>
      <c r="D66" s="53">
        <v>44107</v>
      </c>
      <c r="E66" s="52" t="s">
        <v>259</v>
      </c>
      <c r="F66" s="51" t="s">
        <v>37</v>
      </c>
      <c r="G66" s="51" t="s">
        <v>63</v>
      </c>
      <c r="H66" s="51">
        <v>6</v>
      </c>
      <c r="I66" s="51">
        <v>6</v>
      </c>
      <c r="J66" s="51"/>
      <c r="K66" s="51" t="str">
        <f t="shared" si="14"/>
        <v>完结</v>
      </c>
      <c r="L66" s="51">
        <v>6</v>
      </c>
      <c r="M66" s="51"/>
      <c r="N66" s="51"/>
      <c r="O66" s="51" t="str">
        <f t="shared" ref="O66:O97" si="16">IF(H66=L66,"完",IF(H66&gt;L66,"未"))</f>
        <v>完</v>
      </c>
      <c r="P66" s="51"/>
      <c r="Q66" s="51"/>
      <c r="R66" s="51"/>
      <c r="S66" s="51"/>
      <c r="T66" s="51"/>
      <c r="U66" s="59"/>
      <c r="V66" s="51"/>
      <c r="W66" s="51"/>
      <c r="X66" s="51"/>
      <c r="Y66" s="51"/>
      <c r="Z66" s="51" t="s">
        <v>260</v>
      </c>
      <c r="AA66" s="51" t="s">
        <v>166</v>
      </c>
      <c r="AB66" s="51" t="s">
        <v>172</v>
      </c>
      <c r="AC66" s="51" t="s">
        <v>173</v>
      </c>
      <c r="AD66" s="51" t="s">
        <v>43</v>
      </c>
      <c r="AE66" s="51" t="e">
        <f t="shared" ref="AE66:AE97" si="17">VLOOKUP($E66,$Z$2:$AD$76,2,FALSE)</f>
        <v>#N/A</v>
      </c>
      <c r="AF66" s="51" t="e">
        <f t="shared" ref="AF66:AF97" si="18">VLOOKUP($E66,$Z$2:$AD$76,3,FALSE)</f>
        <v>#N/A</v>
      </c>
      <c r="AG66" s="51" t="e">
        <f t="shared" ref="AG66:AG97" si="19">VLOOKUP($E66,$Z$2:$AD$76,4,FALSE)</f>
        <v>#N/A</v>
      </c>
      <c r="AH66" s="51" t="e">
        <f t="shared" ref="AH66:AH97" si="20">VLOOKUP($E66,$Z$2:$AD$76,5,FALSE)</f>
        <v>#N/A</v>
      </c>
      <c r="AI66" s="51"/>
      <c r="AJ66" s="51"/>
      <c r="AK66" s="51" t="s">
        <v>229</v>
      </c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</row>
    <row r="67" spans="1:63" ht="30" customHeight="1">
      <c r="A67" s="45">
        <v>66</v>
      </c>
      <c r="B67" s="46" t="s">
        <v>82</v>
      </c>
      <c r="C67" s="45">
        <f t="shared" si="15"/>
        <v>2020</v>
      </c>
      <c r="D67" s="47">
        <v>44110</v>
      </c>
      <c r="E67" s="46" t="s">
        <v>104</v>
      </c>
      <c r="F67" s="45" t="s">
        <v>81</v>
      </c>
      <c r="G67" s="45" t="s">
        <v>47</v>
      </c>
      <c r="H67" s="45">
        <v>5</v>
      </c>
      <c r="I67" s="45">
        <v>5</v>
      </c>
      <c r="J67" s="45"/>
      <c r="K67" s="45" t="str">
        <f t="shared" si="14"/>
        <v>完结</v>
      </c>
      <c r="L67" s="45">
        <v>5</v>
      </c>
      <c r="M67" s="45"/>
      <c r="N67" s="45"/>
      <c r="O67" s="45" t="str">
        <f t="shared" si="16"/>
        <v>完</v>
      </c>
      <c r="P67" s="45" t="s">
        <v>40</v>
      </c>
      <c r="Q67" s="45" t="s">
        <v>67</v>
      </c>
      <c r="R67" s="45">
        <v>0</v>
      </c>
      <c r="S67" s="45">
        <v>0</v>
      </c>
      <c r="T67" s="45"/>
      <c r="U67" s="58"/>
      <c r="V67" s="45"/>
      <c r="W67" s="45"/>
      <c r="X67" s="45"/>
      <c r="Y67" s="45"/>
      <c r="Z67" s="45" t="s">
        <v>261</v>
      </c>
      <c r="AA67" s="45" t="s">
        <v>166</v>
      </c>
      <c r="AB67" s="45" t="s">
        <v>172</v>
      </c>
      <c r="AC67" s="45" t="s">
        <v>173</v>
      </c>
      <c r="AD67" s="45" t="s">
        <v>43</v>
      </c>
      <c r="AE67" s="45" t="str">
        <f t="shared" si="17"/>
        <v>省版</v>
      </c>
      <c r="AF67" s="45" t="str">
        <f t="shared" si="18"/>
        <v>2025/6/5</v>
      </c>
      <c r="AG67" s="45">
        <f t="shared" si="19"/>
        <v>0</v>
      </c>
      <c r="AH67" s="45">
        <f t="shared" si="20"/>
        <v>0</v>
      </c>
      <c r="AI67" s="45"/>
      <c r="AJ67" s="45"/>
      <c r="AK67" s="45" t="s">
        <v>224</v>
      </c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</row>
    <row r="68" spans="1:63" ht="30" customHeight="1">
      <c r="A68" s="51">
        <v>67</v>
      </c>
      <c r="B68" s="52" t="s">
        <v>64</v>
      </c>
      <c r="C68" s="51">
        <f t="shared" si="15"/>
        <v>2020</v>
      </c>
      <c r="D68" s="53">
        <v>44110</v>
      </c>
      <c r="E68" s="52" t="s">
        <v>262</v>
      </c>
      <c r="F68" s="51" t="s">
        <v>37</v>
      </c>
      <c r="G68" s="51" t="s">
        <v>88</v>
      </c>
      <c r="H68" s="51">
        <v>5</v>
      </c>
      <c r="I68" s="51">
        <v>5</v>
      </c>
      <c r="J68" s="51"/>
      <c r="K68" s="51" t="str">
        <f t="shared" si="14"/>
        <v>完结</v>
      </c>
      <c r="L68" s="51">
        <v>5</v>
      </c>
      <c r="M68" s="51"/>
      <c r="N68" s="51"/>
      <c r="O68" s="51" t="str">
        <f t="shared" si="16"/>
        <v>完</v>
      </c>
      <c r="P68" s="51" t="s">
        <v>166</v>
      </c>
      <c r="Q68" s="51" t="s">
        <v>70</v>
      </c>
      <c r="R68" s="51" t="s">
        <v>70</v>
      </c>
      <c r="S68" s="51" t="s">
        <v>43</v>
      </c>
      <c r="T68" s="51"/>
      <c r="U68" s="59"/>
      <c r="V68" s="51"/>
      <c r="W68" s="51"/>
      <c r="X68" s="51"/>
      <c r="Y68" s="51"/>
      <c r="Z68" s="51" t="s">
        <v>263</v>
      </c>
      <c r="AA68" s="51" t="s">
        <v>166</v>
      </c>
      <c r="AB68" s="51" t="s">
        <v>172</v>
      </c>
      <c r="AC68" s="51" t="s">
        <v>173</v>
      </c>
      <c r="AD68" s="51" t="s">
        <v>43</v>
      </c>
      <c r="AE68" s="51" t="str">
        <f t="shared" si="17"/>
        <v>国版</v>
      </c>
      <c r="AF68" s="51" t="str">
        <f t="shared" si="18"/>
        <v>2025/5/30</v>
      </c>
      <c r="AG68" s="51" t="str">
        <f t="shared" si="19"/>
        <v>2025/5/30</v>
      </c>
      <c r="AH68" s="51" t="str">
        <f t="shared" si="20"/>
        <v>已发证</v>
      </c>
      <c r="AI68" s="51"/>
      <c r="AJ68" s="51"/>
      <c r="AK68" s="51" t="s">
        <v>76</v>
      </c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</row>
    <row r="69" spans="1:63" ht="30" customHeight="1">
      <c r="A69" s="48">
        <v>68</v>
      </c>
      <c r="B69" s="49" t="s">
        <v>58</v>
      </c>
      <c r="C69" s="48">
        <f t="shared" si="15"/>
        <v>2020</v>
      </c>
      <c r="D69" s="50">
        <v>44112</v>
      </c>
      <c r="E69" s="49" t="s">
        <v>234</v>
      </c>
      <c r="F69" s="48" t="s">
        <v>37</v>
      </c>
      <c r="G69" s="48" t="s">
        <v>63</v>
      </c>
      <c r="H69" s="48">
        <v>7</v>
      </c>
      <c r="I69" s="48">
        <v>7</v>
      </c>
      <c r="J69" s="48"/>
      <c r="K69" s="48" t="str">
        <f t="shared" si="14"/>
        <v>完结</v>
      </c>
      <c r="L69" s="48">
        <v>6</v>
      </c>
      <c r="M69" s="48"/>
      <c r="N69" s="48"/>
      <c r="O69" s="48" t="str">
        <f t="shared" si="16"/>
        <v>未</v>
      </c>
      <c r="P69" s="48" t="s">
        <v>40</v>
      </c>
      <c r="Q69" s="48" t="s">
        <v>216</v>
      </c>
      <c r="R69" s="48" t="s">
        <v>70</v>
      </c>
      <c r="S69" s="48" t="s">
        <v>43</v>
      </c>
      <c r="T69" s="48"/>
      <c r="U69" s="59"/>
      <c r="V69" s="48"/>
      <c r="W69" s="48"/>
      <c r="X69" s="48"/>
      <c r="Y69" s="48"/>
      <c r="Z69" s="48" t="s">
        <v>239</v>
      </c>
      <c r="AA69" s="48" t="s">
        <v>166</v>
      </c>
      <c r="AB69" s="48" t="s">
        <v>70</v>
      </c>
      <c r="AC69" s="48" t="s">
        <v>70</v>
      </c>
      <c r="AD69" s="48" t="s">
        <v>43</v>
      </c>
      <c r="AE69" s="48" t="str">
        <f t="shared" si="17"/>
        <v>省版</v>
      </c>
      <c r="AF69" s="48" t="str">
        <f t="shared" si="18"/>
        <v>2025/5/29</v>
      </c>
      <c r="AG69" s="48" t="str">
        <f t="shared" si="19"/>
        <v>2025/5/30</v>
      </c>
      <c r="AH69" s="48" t="str">
        <f t="shared" si="20"/>
        <v>已发证</v>
      </c>
      <c r="AI69" s="48"/>
      <c r="AJ69" s="48"/>
      <c r="AK69" s="48" t="s">
        <v>229</v>
      </c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</row>
    <row r="70" spans="1:63" ht="30" customHeight="1">
      <c r="A70" s="51">
        <v>69</v>
      </c>
      <c r="B70" s="52" t="s">
        <v>151</v>
      </c>
      <c r="C70" s="51">
        <f t="shared" si="15"/>
        <v>2020</v>
      </c>
      <c r="D70" s="53">
        <v>44113</v>
      </c>
      <c r="E70" s="52" t="s">
        <v>264</v>
      </c>
      <c r="F70" s="51" t="s">
        <v>54</v>
      </c>
      <c r="G70" s="51" t="s">
        <v>88</v>
      </c>
      <c r="H70" s="51">
        <v>2</v>
      </c>
      <c r="I70" s="51">
        <v>2</v>
      </c>
      <c r="J70" s="51"/>
      <c r="K70" s="51" t="str">
        <f t="shared" si="14"/>
        <v>完结</v>
      </c>
      <c r="L70" s="51">
        <v>0</v>
      </c>
      <c r="M70" s="51"/>
      <c r="N70" s="51"/>
      <c r="O70" s="51" t="str">
        <f t="shared" si="16"/>
        <v>未</v>
      </c>
      <c r="P70" s="51"/>
      <c r="Q70" s="51"/>
      <c r="R70" s="51"/>
      <c r="S70" s="51"/>
      <c r="T70" s="51"/>
      <c r="U70" s="59"/>
      <c r="V70" s="51"/>
      <c r="W70" s="51"/>
      <c r="X70" s="51"/>
      <c r="Y70" s="51"/>
      <c r="Z70" s="51" t="s">
        <v>265</v>
      </c>
      <c r="AA70" s="51" t="s">
        <v>166</v>
      </c>
      <c r="AB70" s="51" t="s">
        <v>70</v>
      </c>
      <c r="AC70" s="51" t="s">
        <v>70</v>
      </c>
      <c r="AD70" s="51" t="s">
        <v>43</v>
      </c>
      <c r="AE70" s="51" t="e">
        <f t="shared" si="17"/>
        <v>#N/A</v>
      </c>
      <c r="AF70" s="51" t="e">
        <f t="shared" si="18"/>
        <v>#N/A</v>
      </c>
      <c r="AG70" s="51" t="e">
        <f t="shared" si="19"/>
        <v>#N/A</v>
      </c>
      <c r="AH70" s="51" t="e">
        <f t="shared" si="20"/>
        <v>#N/A</v>
      </c>
      <c r="AI70" s="51"/>
      <c r="AJ70" s="51"/>
      <c r="AK70" s="51" t="s">
        <v>176</v>
      </c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</row>
    <row r="71" spans="1:63" ht="30" customHeight="1">
      <c r="A71" s="54">
        <v>70</v>
      </c>
      <c r="B71" s="42" t="s">
        <v>151</v>
      </c>
      <c r="C71" s="54">
        <f t="shared" si="15"/>
        <v>2020</v>
      </c>
      <c r="D71" s="55">
        <v>44114</v>
      </c>
      <c r="E71" s="42" t="s">
        <v>266</v>
      </c>
      <c r="F71" s="54" t="s">
        <v>54</v>
      </c>
      <c r="G71" s="54" t="s">
        <v>88</v>
      </c>
      <c r="H71" s="54">
        <v>8</v>
      </c>
      <c r="I71" s="54">
        <v>8</v>
      </c>
      <c r="J71" s="54"/>
      <c r="K71" s="54" t="str">
        <f t="shared" si="14"/>
        <v>完结</v>
      </c>
      <c r="L71" s="54">
        <v>0</v>
      </c>
      <c r="M71" s="54"/>
      <c r="N71" s="54"/>
      <c r="O71" s="54" t="str">
        <f t="shared" si="16"/>
        <v>未</v>
      </c>
      <c r="P71" s="54"/>
      <c r="Q71" s="54"/>
      <c r="R71" s="54"/>
      <c r="S71" s="54"/>
      <c r="T71" s="54"/>
      <c r="U71" s="59"/>
      <c r="V71" s="54"/>
      <c r="W71" s="54"/>
      <c r="X71" s="54"/>
      <c r="Y71" s="54"/>
      <c r="Z71" s="54" t="s">
        <v>262</v>
      </c>
      <c r="AA71" s="54" t="s">
        <v>166</v>
      </c>
      <c r="AB71" s="54" t="s">
        <v>70</v>
      </c>
      <c r="AC71" s="54" t="s">
        <v>70</v>
      </c>
      <c r="AD71" s="54" t="s">
        <v>43</v>
      </c>
      <c r="AE71" s="54" t="e">
        <f t="shared" si="17"/>
        <v>#N/A</v>
      </c>
      <c r="AF71" s="54" t="e">
        <f t="shared" si="18"/>
        <v>#N/A</v>
      </c>
      <c r="AG71" s="54" t="e">
        <f t="shared" si="19"/>
        <v>#N/A</v>
      </c>
      <c r="AH71" s="54" t="e">
        <f t="shared" si="20"/>
        <v>#N/A</v>
      </c>
      <c r="AI71" s="54"/>
      <c r="AJ71" s="54"/>
      <c r="AK71" s="54" t="s">
        <v>176</v>
      </c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</row>
    <row r="72" spans="1:63" ht="30" customHeight="1">
      <c r="A72" s="51">
        <v>71</v>
      </c>
      <c r="B72" s="52" t="s">
        <v>61</v>
      </c>
      <c r="C72" s="51">
        <f t="shared" si="15"/>
        <v>2020</v>
      </c>
      <c r="D72" s="53">
        <v>44115</v>
      </c>
      <c r="E72" s="52" t="s">
        <v>267</v>
      </c>
      <c r="F72" s="51" t="s">
        <v>107</v>
      </c>
      <c r="G72" s="51" t="s">
        <v>123</v>
      </c>
      <c r="H72" s="51">
        <v>1</v>
      </c>
      <c r="I72" s="51">
        <v>1</v>
      </c>
      <c r="J72" s="51"/>
      <c r="K72" s="51" t="s">
        <v>140</v>
      </c>
      <c r="L72" s="51"/>
      <c r="M72" s="51"/>
      <c r="N72" s="51"/>
      <c r="O72" s="51" t="str">
        <f t="shared" si="16"/>
        <v>未</v>
      </c>
      <c r="P72" s="51"/>
      <c r="Q72" s="51"/>
      <c r="R72" s="51"/>
      <c r="S72" s="51"/>
      <c r="T72" s="51"/>
      <c r="U72" s="59"/>
      <c r="V72" s="51"/>
      <c r="W72" s="51"/>
      <c r="X72" s="51"/>
      <c r="Y72" s="51"/>
      <c r="Z72" s="51" t="s">
        <v>68</v>
      </c>
      <c r="AA72" s="51"/>
      <c r="AB72" s="51" t="s">
        <v>70</v>
      </c>
      <c r="AC72" s="51"/>
      <c r="AD72" s="51" t="s">
        <v>71</v>
      </c>
      <c r="AE72" s="51" t="e">
        <f t="shared" si="17"/>
        <v>#N/A</v>
      </c>
      <c r="AF72" s="51" t="e">
        <f t="shared" si="18"/>
        <v>#N/A</v>
      </c>
      <c r="AG72" s="51" t="e">
        <f t="shared" si="19"/>
        <v>#N/A</v>
      </c>
      <c r="AH72" s="51" t="e">
        <f t="shared" si="20"/>
        <v>#N/A</v>
      </c>
      <c r="AI72" s="51"/>
      <c r="AJ72" s="51"/>
      <c r="AK72" s="51" t="s">
        <v>143</v>
      </c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</row>
    <row r="73" spans="1:63" ht="30" customHeight="1">
      <c r="A73" s="45">
        <v>72</v>
      </c>
      <c r="B73" s="46" t="s">
        <v>82</v>
      </c>
      <c r="C73" s="45">
        <f t="shared" si="15"/>
        <v>2020</v>
      </c>
      <c r="D73" s="47">
        <v>44118</v>
      </c>
      <c r="E73" s="46" t="s">
        <v>219</v>
      </c>
      <c r="F73" s="45" t="s">
        <v>81</v>
      </c>
      <c r="G73" s="45" t="s">
        <v>47</v>
      </c>
      <c r="H73" s="45">
        <v>4</v>
      </c>
      <c r="I73" s="45">
        <v>4</v>
      </c>
      <c r="J73" s="45"/>
      <c r="K73" s="45" t="str">
        <f>IF(H73=I73,"完结",IF(H73&gt;I73,"未完结"))</f>
        <v>完结</v>
      </c>
      <c r="L73" s="45">
        <v>4</v>
      </c>
      <c r="M73" s="45"/>
      <c r="N73" s="45"/>
      <c r="O73" s="45" t="str">
        <f t="shared" si="16"/>
        <v>完</v>
      </c>
      <c r="P73" s="45" t="s">
        <v>40</v>
      </c>
      <c r="Q73" s="45" t="s">
        <v>70</v>
      </c>
      <c r="R73" s="45" t="s">
        <v>70</v>
      </c>
      <c r="S73" s="45" t="s">
        <v>43</v>
      </c>
      <c r="T73" s="45"/>
      <c r="U73" s="58"/>
      <c r="V73" s="45"/>
      <c r="W73" s="45"/>
      <c r="X73" s="45"/>
      <c r="Y73" s="45"/>
      <c r="Z73" s="45" t="s">
        <v>182</v>
      </c>
      <c r="AA73" s="45" t="s">
        <v>166</v>
      </c>
      <c r="AB73" s="45" t="s">
        <v>183</v>
      </c>
      <c r="AC73" s="45" t="s">
        <v>183</v>
      </c>
      <c r="AD73" s="45" t="s">
        <v>43</v>
      </c>
      <c r="AE73" s="45" t="str">
        <f t="shared" si="17"/>
        <v>省版</v>
      </c>
      <c r="AF73" s="45" t="str">
        <f t="shared" si="18"/>
        <v>2025/5/30</v>
      </c>
      <c r="AG73" s="45" t="str">
        <f t="shared" si="19"/>
        <v>2025/5/30</v>
      </c>
      <c r="AH73" s="45" t="str">
        <f t="shared" si="20"/>
        <v>已发证</v>
      </c>
      <c r="AI73" s="45"/>
      <c r="AJ73" s="45"/>
      <c r="AK73" s="45" t="s">
        <v>236</v>
      </c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</row>
    <row r="74" spans="1:63" ht="30" customHeight="1">
      <c r="A74" s="51">
        <v>73</v>
      </c>
      <c r="B74" s="52" t="s">
        <v>90</v>
      </c>
      <c r="C74" s="51">
        <f t="shared" si="15"/>
        <v>2020</v>
      </c>
      <c r="D74" s="53">
        <v>44119</v>
      </c>
      <c r="E74" s="52" t="s">
        <v>268</v>
      </c>
      <c r="F74" s="51" t="s">
        <v>37</v>
      </c>
      <c r="G74" s="51" t="s">
        <v>63</v>
      </c>
      <c r="H74" s="51">
        <v>22</v>
      </c>
      <c r="I74" s="51">
        <v>22</v>
      </c>
      <c r="J74" s="51"/>
      <c r="K74" s="51" t="str">
        <f>IF(H74=I74,"完结",IF(H74&gt;I74,"未完结"))</f>
        <v>完结</v>
      </c>
      <c r="L74" s="51">
        <v>13</v>
      </c>
      <c r="M74" s="51"/>
      <c r="N74" s="51"/>
      <c r="O74" s="51" t="str">
        <f t="shared" si="16"/>
        <v>未</v>
      </c>
      <c r="P74" s="51"/>
      <c r="Q74" s="51"/>
      <c r="R74" s="51"/>
      <c r="S74" s="51"/>
      <c r="T74" s="51"/>
      <c r="U74" s="59"/>
      <c r="V74" s="51"/>
      <c r="W74" s="51"/>
      <c r="X74" s="51"/>
      <c r="Y74" s="51"/>
      <c r="Z74" s="51" t="s">
        <v>269</v>
      </c>
      <c r="AA74" s="51" t="s">
        <v>166</v>
      </c>
      <c r="AB74" s="51" t="s">
        <v>270</v>
      </c>
      <c r="AC74" s="51" t="s">
        <v>271</v>
      </c>
      <c r="AD74" s="51" t="s">
        <v>43</v>
      </c>
      <c r="AE74" s="51" t="e">
        <f t="shared" si="17"/>
        <v>#N/A</v>
      </c>
      <c r="AF74" s="51" t="e">
        <f t="shared" si="18"/>
        <v>#N/A</v>
      </c>
      <c r="AG74" s="51" t="e">
        <f t="shared" si="19"/>
        <v>#N/A</v>
      </c>
      <c r="AH74" s="51" t="e">
        <f t="shared" si="20"/>
        <v>#N/A</v>
      </c>
      <c r="AI74" s="51"/>
      <c r="AJ74" s="51"/>
      <c r="AK74" s="51" t="s">
        <v>229</v>
      </c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</row>
    <row r="75" spans="1:63" ht="30" customHeight="1">
      <c r="A75" s="48">
        <v>74</v>
      </c>
      <c r="B75" s="49" t="s">
        <v>77</v>
      </c>
      <c r="C75" s="48">
        <f t="shared" si="15"/>
        <v>2020</v>
      </c>
      <c r="D75" s="50">
        <v>44122</v>
      </c>
      <c r="E75" s="49" t="s">
        <v>272</v>
      </c>
      <c r="F75" s="48" t="s">
        <v>107</v>
      </c>
      <c r="G75" s="48" t="s">
        <v>123</v>
      </c>
      <c r="H75" s="48">
        <v>1</v>
      </c>
      <c r="I75" s="48">
        <v>1</v>
      </c>
      <c r="J75" s="48"/>
      <c r="K75" s="48" t="s">
        <v>140</v>
      </c>
      <c r="L75" s="48"/>
      <c r="M75" s="48"/>
      <c r="N75" s="48"/>
      <c r="O75" s="48" t="str">
        <f t="shared" si="16"/>
        <v>未</v>
      </c>
      <c r="P75" s="48"/>
      <c r="Q75" s="48"/>
      <c r="R75" s="48"/>
      <c r="S75" s="48"/>
      <c r="T75" s="48"/>
      <c r="U75" s="59"/>
      <c r="V75" s="48"/>
      <c r="W75" s="48"/>
      <c r="X75" s="48"/>
      <c r="Y75" s="48"/>
      <c r="Z75" s="48" t="s">
        <v>273</v>
      </c>
      <c r="AA75" s="48" t="s">
        <v>166</v>
      </c>
      <c r="AB75" s="48" t="s">
        <v>270</v>
      </c>
      <c r="AC75" s="48" t="s">
        <v>271</v>
      </c>
      <c r="AD75" s="48" t="s">
        <v>43</v>
      </c>
      <c r="AE75" s="48" t="e">
        <f t="shared" si="17"/>
        <v>#N/A</v>
      </c>
      <c r="AF75" s="48" t="e">
        <f t="shared" si="18"/>
        <v>#N/A</v>
      </c>
      <c r="AG75" s="48" t="e">
        <f t="shared" si="19"/>
        <v>#N/A</v>
      </c>
      <c r="AH75" s="48" t="e">
        <f t="shared" si="20"/>
        <v>#N/A</v>
      </c>
      <c r="AI75" s="48"/>
      <c r="AJ75" s="48"/>
      <c r="AK75" s="48" t="s">
        <v>143</v>
      </c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</row>
    <row r="76" spans="1:63" ht="30" customHeight="1">
      <c r="A76" s="51">
        <v>75</v>
      </c>
      <c r="B76" s="52" t="s">
        <v>49</v>
      </c>
      <c r="C76" s="51">
        <f t="shared" si="15"/>
        <v>2020</v>
      </c>
      <c r="D76" s="53">
        <v>44124</v>
      </c>
      <c r="E76" s="52" t="s">
        <v>126</v>
      </c>
      <c r="F76" s="51" t="s">
        <v>81</v>
      </c>
      <c r="G76" s="51" t="s">
        <v>47</v>
      </c>
      <c r="H76" s="51">
        <v>8</v>
      </c>
      <c r="I76" s="51">
        <v>8</v>
      </c>
      <c r="J76" s="51"/>
      <c r="K76" s="51" t="str">
        <f t="shared" ref="K76:K88" si="21">IF(H76=I76,"完结",IF(H76&gt;I76,"未完结"))</f>
        <v>完结</v>
      </c>
      <c r="L76" s="51">
        <v>7</v>
      </c>
      <c r="M76" s="51"/>
      <c r="N76" s="51"/>
      <c r="O76" s="51" t="str">
        <f t="shared" si="16"/>
        <v>未</v>
      </c>
      <c r="P76" s="51" t="s">
        <v>40</v>
      </c>
      <c r="Q76" s="51" t="s">
        <v>67</v>
      </c>
      <c r="R76" s="51">
        <v>0</v>
      </c>
      <c r="S76" s="51">
        <v>0</v>
      </c>
      <c r="T76" s="51"/>
      <c r="U76" s="59"/>
      <c r="V76" s="51"/>
      <c r="W76" s="51"/>
      <c r="X76" s="51"/>
      <c r="Y76" s="51"/>
      <c r="Z76" s="51" t="s">
        <v>274</v>
      </c>
      <c r="AA76" s="51" t="s">
        <v>40</v>
      </c>
      <c r="AB76" s="51" t="s">
        <v>216</v>
      </c>
      <c r="AC76" s="51" t="s">
        <v>70</v>
      </c>
      <c r="AD76" s="51" t="s">
        <v>43</v>
      </c>
      <c r="AE76" s="51" t="str">
        <f t="shared" si="17"/>
        <v>省版</v>
      </c>
      <c r="AF76" s="51" t="str">
        <f t="shared" si="18"/>
        <v>2025/6/5</v>
      </c>
      <c r="AG76" s="51">
        <f t="shared" si="19"/>
        <v>0</v>
      </c>
      <c r="AH76" s="51">
        <f t="shared" si="20"/>
        <v>0</v>
      </c>
      <c r="AI76" s="51"/>
      <c r="AJ76" s="51"/>
      <c r="AK76" s="51" t="s">
        <v>236</v>
      </c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</row>
    <row r="77" spans="1:63" ht="30" customHeight="1">
      <c r="A77" s="54">
        <v>76</v>
      </c>
      <c r="B77" s="42" t="s">
        <v>73</v>
      </c>
      <c r="C77" s="54">
        <f t="shared" si="15"/>
        <v>2020</v>
      </c>
      <c r="D77" s="55">
        <v>44125</v>
      </c>
      <c r="E77" s="42" t="s">
        <v>241</v>
      </c>
      <c r="F77" s="54" t="s">
        <v>54</v>
      </c>
      <c r="G77" s="54" t="s">
        <v>72</v>
      </c>
      <c r="H77" s="54">
        <v>5</v>
      </c>
      <c r="I77" s="54">
        <v>5</v>
      </c>
      <c r="J77" s="54"/>
      <c r="K77" s="54" t="str">
        <f t="shared" si="21"/>
        <v>完结</v>
      </c>
      <c r="L77" s="54">
        <v>5</v>
      </c>
      <c r="M77" s="54"/>
      <c r="N77" s="54"/>
      <c r="O77" s="54" t="str">
        <f t="shared" si="16"/>
        <v>完</v>
      </c>
      <c r="P77" s="54" t="s">
        <v>40</v>
      </c>
      <c r="Q77" s="54" t="s">
        <v>216</v>
      </c>
      <c r="R77" s="54" t="s">
        <v>70</v>
      </c>
      <c r="S77" s="54" t="s">
        <v>43</v>
      </c>
      <c r="T77" s="54"/>
      <c r="U77" s="59"/>
      <c r="V77" s="54"/>
      <c r="W77" s="54"/>
      <c r="X77" s="54"/>
      <c r="Y77" s="54"/>
      <c r="Z77" s="54"/>
      <c r="AA77" s="54"/>
      <c r="AB77" s="54"/>
      <c r="AC77" s="54"/>
      <c r="AD77" s="54"/>
      <c r="AE77" s="54" t="str">
        <f t="shared" si="17"/>
        <v>省版</v>
      </c>
      <c r="AF77" s="54" t="str">
        <f t="shared" si="18"/>
        <v>2025/5/29</v>
      </c>
      <c r="AG77" s="54" t="str">
        <f t="shared" si="19"/>
        <v>2025/5/30</v>
      </c>
      <c r="AH77" s="54" t="str">
        <f t="shared" si="20"/>
        <v>已发证</v>
      </c>
      <c r="AI77" s="54"/>
      <c r="AJ77" s="54"/>
      <c r="AK77" s="54" t="s">
        <v>76</v>
      </c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</row>
    <row r="78" spans="1:63" ht="30" customHeight="1">
      <c r="A78" s="51">
        <v>77</v>
      </c>
      <c r="B78" s="52" t="s">
        <v>90</v>
      </c>
      <c r="C78" s="51">
        <f t="shared" si="15"/>
        <v>2020</v>
      </c>
      <c r="D78" s="53">
        <v>44128</v>
      </c>
      <c r="E78" s="52" t="s">
        <v>275</v>
      </c>
      <c r="F78" s="51" t="s">
        <v>37</v>
      </c>
      <c r="G78" s="51" t="s">
        <v>109</v>
      </c>
      <c r="H78" s="51">
        <v>8</v>
      </c>
      <c r="I78" s="51">
        <v>8</v>
      </c>
      <c r="J78" s="51"/>
      <c r="K78" s="51" t="str">
        <f t="shared" si="21"/>
        <v>完结</v>
      </c>
      <c r="L78" s="51">
        <v>8</v>
      </c>
      <c r="M78" s="51"/>
      <c r="N78" s="51"/>
      <c r="O78" s="51" t="str">
        <f t="shared" si="16"/>
        <v>完</v>
      </c>
      <c r="P78" s="51"/>
      <c r="Q78" s="51"/>
      <c r="R78" s="51"/>
      <c r="S78" s="51"/>
      <c r="T78" s="51"/>
      <c r="U78" s="59"/>
      <c r="V78" s="51"/>
      <c r="W78" s="51"/>
      <c r="X78" s="51"/>
      <c r="Y78" s="51"/>
      <c r="Z78" s="51"/>
      <c r="AA78" s="51"/>
      <c r="AB78" s="51"/>
      <c r="AC78" s="51"/>
      <c r="AD78" s="51"/>
      <c r="AE78" s="51" t="e">
        <f t="shared" si="17"/>
        <v>#N/A</v>
      </c>
      <c r="AF78" s="51" t="e">
        <f t="shared" si="18"/>
        <v>#N/A</v>
      </c>
      <c r="AG78" s="51" t="e">
        <f t="shared" si="19"/>
        <v>#N/A</v>
      </c>
      <c r="AH78" s="51" t="e">
        <f t="shared" si="20"/>
        <v>#N/A</v>
      </c>
      <c r="AI78" s="51"/>
      <c r="AJ78" s="51"/>
      <c r="AK78" s="51" t="s">
        <v>276</v>
      </c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</row>
    <row r="79" spans="1:63" ht="30" customHeight="1">
      <c r="A79" s="45">
        <v>78</v>
      </c>
      <c r="B79" s="46" t="s">
        <v>90</v>
      </c>
      <c r="C79" s="45">
        <f t="shared" si="15"/>
        <v>2020</v>
      </c>
      <c r="D79" s="47">
        <v>44132</v>
      </c>
      <c r="E79" s="46" t="s">
        <v>277</v>
      </c>
      <c r="F79" s="45" t="s">
        <v>54</v>
      </c>
      <c r="G79" s="45" t="s">
        <v>63</v>
      </c>
      <c r="H79" s="45">
        <v>6</v>
      </c>
      <c r="I79" s="45">
        <v>6</v>
      </c>
      <c r="J79" s="45"/>
      <c r="K79" s="45" t="str">
        <f t="shared" si="21"/>
        <v>完结</v>
      </c>
      <c r="L79" s="45">
        <v>4</v>
      </c>
      <c r="M79" s="45"/>
      <c r="N79" s="45"/>
      <c r="O79" s="45" t="str">
        <f t="shared" si="16"/>
        <v>未</v>
      </c>
      <c r="P79" s="45"/>
      <c r="Q79" s="45"/>
      <c r="R79" s="45"/>
      <c r="S79" s="45"/>
      <c r="T79" s="45"/>
      <c r="U79" s="58"/>
      <c r="V79" s="45"/>
      <c r="W79" s="45"/>
      <c r="X79" s="45"/>
      <c r="Y79" s="45"/>
      <c r="Z79" s="45"/>
      <c r="AA79" s="45"/>
      <c r="AB79" s="45"/>
      <c r="AC79" s="45"/>
      <c r="AD79" s="45"/>
      <c r="AE79" s="45" t="e">
        <f t="shared" si="17"/>
        <v>#N/A</v>
      </c>
      <c r="AF79" s="45" t="e">
        <f t="shared" si="18"/>
        <v>#N/A</v>
      </c>
      <c r="AG79" s="45" t="e">
        <f t="shared" si="19"/>
        <v>#N/A</v>
      </c>
      <c r="AH79" s="45" t="e">
        <f t="shared" si="20"/>
        <v>#N/A</v>
      </c>
      <c r="AI79" s="45"/>
      <c r="AJ79" s="45"/>
      <c r="AK79" s="45" t="s">
        <v>229</v>
      </c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</row>
    <row r="80" spans="1:63" ht="30" customHeight="1">
      <c r="A80" s="51">
        <v>79</v>
      </c>
      <c r="B80" s="52" t="s">
        <v>151</v>
      </c>
      <c r="C80" s="51">
        <f t="shared" si="15"/>
        <v>2020</v>
      </c>
      <c r="D80" s="53">
        <v>44133</v>
      </c>
      <c r="E80" s="52" t="s">
        <v>251</v>
      </c>
      <c r="F80" s="51" t="s">
        <v>37</v>
      </c>
      <c r="G80" s="51" t="s">
        <v>123</v>
      </c>
      <c r="H80" s="51">
        <v>5</v>
      </c>
      <c r="I80" s="51">
        <v>5</v>
      </c>
      <c r="J80" s="51"/>
      <c r="K80" s="51" t="str">
        <f t="shared" si="21"/>
        <v>完结</v>
      </c>
      <c r="L80" s="51">
        <v>1</v>
      </c>
      <c r="M80" s="51"/>
      <c r="N80" s="51"/>
      <c r="O80" s="51" t="str">
        <f t="shared" si="16"/>
        <v>未</v>
      </c>
      <c r="P80" s="51" t="s">
        <v>166</v>
      </c>
      <c r="Q80" s="51" t="s">
        <v>172</v>
      </c>
      <c r="R80" s="51" t="s">
        <v>172</v>
      </c>
      <c r="S80" s="51" t="s">
        <v>43</v>
      </c>
      <c r="T80" s="51"/>
      <c r="U80" s="59"/>
      <c r="V80" s="51"/>
      <c r="W80" s="51"/>
      <c r="X80" s="51"/>
      <c r="Y80" s="51"/>
      <c r="Z80" s="51"/>
      <c r="AA80" s="51"/>
      <c r="AB80" s="51"/>
      <c r="AC80" s="51"/>
      <c r="AD80" s="51"/>
      <c r="AE80" s="51" t="str">
        <f t="shared" si="17"/>
        <v>国版</v>
      </c>
      <c r="AF80" s="51" t="str">
        <f t="shared" si="18"/>
        <v>2025/5/27</v>
      </c>
      <c r="AG80" s="51" t="str">
        <f t="shared" si="19"/>
        <v>2025/5/27</v>
      </c>
      <c r="AH80" s="51" t="str">
        <f t="shared" si="20"/>
        <v>已发证</v>
      </c>
      <c r="AI80" s="51"/>
      <c r="AJ80" s="51"/>
      <c r="AK80" s="51" t="s">
        <v>176</v>
      </c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</row>
    <row r="81" spans="1:63" ht="30" customHeight="1">
      <c r="A81" s="48">
        <v>80</v>
      </c>
      <c r="B81" s="49" t="s">
        <v>58</v>
      </c>
      <c r="C81" s="48">
        <f t="shared" si="15"/>
        <v>2020</v>
      </c>
      <c r="D81" s="50">
        <v>44137</v>
      </c>
      <c r="E81" s="49" t="s">
        <v>238</v>
      </c>
      <c r="F81" s="48" t="s">
        <v>37</v>
      </c>
      <c r="G81" s="48" t="s">
        <v>47</v>
      </c>
      <c r="H81" s="48">
        <v>5</v>
      </c>
      <c r="I81" s="48">
        <v>5</v>
      </c>
      <c r="J81" s="48"/>
      <c r="K81" s="48" t="str">
        <f t="shared" si="21"/>
        <v>完结</v>
      </c>
      <c r="L81" s="48">
        <v>5</v>
      </c>
      <c r="M81" s="48"/>
      <c r="N81" s="48"/>
      <c r="O81" s="48" t="str">
        <f t="shared" si="16"/>
        <v>完</v>
      </c>
      <c r="P81" s="48" t="s">
        <v>166</v>
      </c>
      <c r="Q81" s="48" t="s">
        <v>172</v>
      </c>
      <c r="R81" s="48" t="s">
        <v>173</v>
      </c>
      <c r="S81" s="48" t="s">
        <v>43</v>
      </c>
      <c r="T81" s="48"/>
      <c r="U81" s="59"/>
      <c r="V81" s="48"/>
      <c r="W81" s="48"/>
      <c r="X81" s="48"/>
      <c r="Y81" s="48"/>
      <c r="Z81" s="48"/>
      <c r="AA81" s="48"/>
      <c r="AB81" s="48"/>
      <c r="AC81" s="48"/>
      <c r="AD81" s="48"/>
      <c r="AE81" s="48" t="str">
        <f t="shared" si="17"/>
        <v>国版</v>
      </c>
      <c r="AF81" s="48" t="str">
        <f t="shared" si="18"/>
        <v>2025/5/27</v>
      </c>
      <c r="AG81" s="48" t="str">
        <f t="shared" si="19"/>
        <v>2025/5/28</v>
      </c>
      <c r="AH81" s="48" t="str">
        <f t="shared" si="20"/>
        <v>已发证</v>
      </c>
      <c r="AI81" s="48"/>
      <c r="AJ81" s="48"/>
      <c r="AK81" s="48" t="s">
        <v>76</v>
      </c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</row>
    <row r="82" spans="1:63" ht="30" customHeight="1">
      <c r="A82" s="51">
        <v>81</v>
      </c>
      <c r="B82" s="52" t="s">
        <v>35</v>
      </c>
      <c r="C82" s="51">
        <f t="shared" si="15"/>
        <v>2020</v>
      </c>
      <c r="D82" s="53">
        <v>44138</v>
      </c>
      <c r="E82" s="52" t="s">
        <v>146</v>
      </c>
      <c r="F82" s="51" t="s">
        <v>54</v>
      </c>
      <c r="G82" s="51" t="s">
        <v>72</v>
      </c>
      <c r="H82" s="51">
        <v>6</v>
      </c>
      <c r="I82" s="51">
        <v>6</v>
      </c>
      <c r="J82" s="51"/>
      <c r="K82" s="51" t="str">
        <f t="shared" si="21"/>
        <v>完结</v>
      </c>
      <c r="L82" s="51">
        <v>6</v>
      </c>
      <c r="M82" s="51"/>
      <c r="N82" s="51"/>
      <c r="O82" s="51" t="str">
        <f t="shared" si="16"/>
        <v>完</v>
      </c>
      <c r="P82" s="51" t="s">
        <v>40</v>
      </c>
      <c r="Q82" s="51" t="s">
        <v>67</v>
      </c>
      <c r="R82" s="51">
        <v>0</v>
      </c>
      <c r="S82" s="51">
        <v>0</v>
      </c>
      <c r="T82" s="51"/>
      <c r="U82" s="59"/>
      <c r="V82" s="51"/>
      <c r="W82" s="51"/>
      <c r="X82" s="51"/>
      <c r="Y82" s="51"/>
      <c r="Z82" s="51"/>
      <c r="AA82" s="51"/>
      <c r="AB82" s="51"/>
      <c r="AC82" s="51"/>
      <c r="AD82" s="51"/>
      <c r="AE82" s="51" t="str">
        <f t="shared" si="17"/>
        <v>省版</v>
      </c>
      <c r="AF82" s="51" t="str">
        <f t="shared" si="18"/>
        <v>2025/6/5</v>
      </c>
      <c r="AG82" s="51">
        <f t="shared" si="19"/>
        <v>0</v>
      </c>
      <c r="AH82" s="51">
        <f t="shared" si="20"/>
        <v>0</v>
      </c>
      <c r="AI82" s="51"/>
      <c r="AJ82" s="51"/>
      <c r="AK82" s="51" t="s">
        <v>44</v>
      </c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</row>
    <row r="83" spans="1:63" ht="30" customHeight="1">
      <c r="A83" s="54">
        <v>82</v>
      </c>
      <c r="B83" s="42" t="s">
        <v>151</v>
      </c>
      <c r="C83" s="54">
        <f t="shared" si="15"/>
        <v>2020</v>
      </c>
      <c r="D83" s="55">
        <v>44142</v>
      </c>
      <c r="E83" s="42" t="s">
        <v>278</v>
      </c>
      <c r="F83" s="54" t="s">
        <v>81</v>
      </c>
      <c r="G83" s="54" t="s">
        <v>109</v>
      </c>
      <c r="H83" s="54">
        <v>36</v>
      </c>
      <c r="I83" s="54"/>
      <c r="J83" s="54"/>
      <c r="K83" s="54" t="str">
        <f>IF(H83=I83,"完结",IF(H83&gt;I83,"下载中"))</f>
        <v>下载中</v>
      </c>
      <c r="L83" s="54">
        <v>0</v>
      </c>
      <c r="M83" s="54"/>
      <c r="N83" s="54"/>
      <c r="O83" s="54" t="str">
        <f t="shared" si="16"/>
        <v>未</v>
      </c>
      <c r="P83" s="54"/>
      <c r="Q83" s="54"/>
      <c r="R83" s="54"/>
      <c r="S83" s="54"/>
      <c r="T83" s="54"/>
      <c r="U83" s="59"/>
      <c r="V83" s="54"/>
      <c r="W83" s="54"/>
      <c r="X83" s="54"/>
      <c r="Y83" s="54"/>
      <c r="Z83" s="54"/>
      <c r="AA83" s="54"/>
      <c r="AB83" s="54"/>
      <c r="AC83" s="54"/>
      <c r="AD83" s="54"/>
      <c r="AE83" s="54" t="e">
        <f t="shared" si="17"/>
        <v>#N/A</v>
      </c>
      <c r="AF83" s="54" t="e">
        <f t="shared" si="18"/>
        <v>#N/A</v>
      </c>
      <c r="AG83" s="54" t="e">
        <f t="shared" si="19"/>
        <v>#N/A</v>
      </c>
      <c r="AH83" s="54" t="e">
        <f t="shared" si="20"/>
        <v>#N/A</v>
      </c>
      <c r="AI83" s="54"/>
      <c r="AJ83" s="54"/>
      <c r="AK83" s="54" t="s">
        <v>176</v>
      </c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</row>
    <row r="84" spans="1:63" ht="30" customHeight="1">
      <c r="A84" s="51">
        <v>83</v>
      </c>
      <c r="B84" s="52" t="s">
        <v>161</v>
      </c>
      <c r="C84" s="51">
        <f t="shared" si="15"/>
        <v>2020</v>
      </c>
      <c r="D84" s="53">
        <v>44144</v>
      </c>
      <c r="E84" s="52" t="s">
        <v>279</v>
      </c>
      <c r="F84" s="51" t="s">
        <v>10</v>
      </c>
      <c r="G84" s="51" t="s">
        <v>47</v>
      </c>
      <c r="H84" s="51">
        <v>7</v>
      </c>
      <c r="I84" s="51">
        <v>7</v>
      </c>
      <c r="J84" s="51"/>
      <c r="K84" s="51" t="str">
        <f t="shared" si="21"/>
        <v>完结</v>
      </c>
      <c r="L84" s="51">
        <v>0</v>
      </c>
      <c r="M84" s="51"/>
      <c r="N84" s="51"/>
      <c r="O84" s="51" t="str">
        <f t="shared" si="16"/>
        <v>未</v>
      </c>
      <c r="P84" s="51"/>
      <c r="Q84" s="51"/>
      <c r="R84" s="51"/>
      <c r="S84" s="51"/>
      <c r="T84" s="51"/>
      <c r="U84" s="59"/>
      <c r="V84" s="51"/>
      <c r="W84" s="51"/>
      <c r="X84" s="51"/>
      <c r="Y84" s="51"/>
      <c r="Z84" s="51"/>
      <c r="AA84" s="51"/>
      <c r="AB84" s="51"/>
      <c r="AC84" s="51"/>
      <c r="AD84" s="51"/>
      <c r="AE84" s="51" t="e">
        <f t="shared" si="17"/>
        <v>#N/A</v>
      </c>
      <c r="AF84" s="51" t="e">
        <f t="shared" si="18"/>
        <v>#N/A</v>
      </c>
      <c r="AG84" s="51" t="e">
        <f t="shared" si="19"/>
        <v>#N/A</v>
      </c>
      <c r="AH84" s="51" t="e">
        <f t="shared" si="20"/>
        <v>#N/A</v>
      </c>
      <c r="AI84" s="51"/>
      <c r="AJ84" s="51"/>
      <c r="AK84" s="51" t="s">
        <v>76</v>
      </c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</row>
    <row r="85" spans="1:63" ht="30" customHeight="1">
      <c r="A85" s="45">
        <v>84</v>
      </c>
      <c r="B85" s="46" t="s">
        <v>73</v>
      </c>
      <c r="C85" s="45">
        <f t="shared" si="15"/>
        <v>2020</v>
      </c>
      <c r="D85" s="47">
        <v>44151</v>
      </c>
      <c r="E85" s="46" t="s">
        <v>280</v>
      </c>
      <c r="F85" s="45" t="s">
        <v>107</v>
      </c>
      <c r="G85" s="45" t="s">
        <v>72</v>
      </c>
      <c r="H85" s="45">
        <v>1</v>
      </c>
      <c r="I85" s="45">
        <v>1</v>
      </c>
      <c r="J85" s="45"/>
      <c r="K85" s="45" t="s">
        <v>108</v>
      </c>
      <c r="L85" s="45">
        <v>0</v>
      </c>
      <c r="M85" s="45"/>
      <c r="N85" s="45"/>
      <c r="O85" s="45" t="str">
        <f t="shared" si="16"/>
        <v>未</v>
      </c>
      <c r="P85" s="45"/>
      <c r="Q85" s="45"/>
      <c r="R85" s="45"/>
      <c r="S85" s="45"/>
      <c r="T85" s="45"/>
      <c r="U85" s="58"/>
      <c r="V85" s="45"/>
      <c r="W85" s="45"/>
      <c r="X85" s="45"/>
      <c r="Y85" s="45"/>
      <c r="Z85" s="45"/>
      <c r="AA85" s="45"/>
      <c r="AB85" s="45"/>
      <c r="AC85" s="45"/>
      <c r="AD85" s="45"/>
      <c r="AE85" s="45" t="e">
        <f t="shared" si="17"/>
        <v>#N/A</v>
      </c>
      <c r="AF85" s="45" t="e">
        <f t="shared" si="18"/>
        <v>#N/A</v>
      </c>
      <c r="AG85" s="45" t="e">
        <f t="shared" si="19"/>
        <v>#N/A</v>
      </c>
      <c r="AH85" s="45" t="e">
        <f t="shared" si="20"/>
        <v>#N/A</v>
      </c>
      <c r="AI85" s="45"/>
      <c r="AJ85" s="45"/>
      <c r="AK85" s="45" t="s">
        <v>93</v>
      </c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</row>
    <row r="86" spans="1:63" ht="30" customHeight="1">
      <c r="A86" s="51">
        <v>85</v>
      </c>
      <c r="B86" s="52" t="s">
        <v>161</v>
      </c>
      <c r="C86" s="51">
        <f t="shared" si="15"/>
        <v>2020</v>
      </c>
      <c r="D86" s="53">
        <v>44152</v>
      </c>
      <c r="E86" s="52" t="s">
        <v>281</v>
      </c>
      <c r="F86" s="51" t="s">
        <v>10</v>
      </c>
      <c r="G86" s="51" t="s">
        <v>47</v>
      </c>
      <c r="H86" s="51">
        <v>12</v>
      </c>
      <c r="I86" s="51">
        <v>7</v>
      </c>
      <c r="J86" s="51"/>
      <c r="K86" s="51" t="str">
        <f>IF(H86=I86,"完结",IF(H86&gt;I86,"下载中"))</f>
        <v>下载中</v>
      </c>
      <c r="L86" s="51">
        <v>0</v>
      </c>
      <c r="M86" s="51"/>
      <c r="N86" s="51"/>
      <c r="O86" s="51" t="str">
        <f t="shared" si="16"/>
        <v>未</v>
      </c>
      <c r="P86" s="51"/>
      <c r="Q86" s="51"/>
      <c r="R86" s="51"/>
      <c r="S86" s="51"/>
      <c r="T86" s="51"/>
      <c r="U86" s="59"/>
      <c r="V86" s="51"/>
      <c r="W86" s="51"/>
      <c r="X86" s="51"/>
      <c r="Y86" s="51"/>
      <c r="Z86" s="51"/>
      <c r="AA86" s="51"/>
      <c r="AB86" s="51"/>
      <c r="AC86" s="51"/>
      <c r="AD86" s="51"/>
      <c r="AE86" s="51" t="e">
        <f t="shared" si="17"/>
        <v>#N/A</v>
      </c>
      <c r="AF86" s="51" t="e">
        <f t="shared" si="18"/>
        <v>#N/A</v>
      </c>
      <c r="AG86" s="51" t="e">
        <f t="shared" si="19"/>
        <v>#N/A</v>
      </c>
      <c r="AH86" s="51" t="e">
        <f t="shared" si="20"/>
        <v>#N/A</v>
      </c>
      <c r="AI86" s="51"/>
      <c r="AJ86" s="51"/>
      <c r="AK86" s="51" t="s">
        <v>44</v>
      </c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</row>
    <row r="87" spans="1:63" ht="30" customHeight="1">
      <c r="A87" s="48">
        <v>86</v>
      </c>
      <c r="B87" s="49" t="s">
        <v>151</v>
      </c>
      <c r="C87" s="48">
        <f t="shared" si="15"/>
        <v>2020</v>
      </c>
      <c r="D87" s="50">
        <v>44152</v>
      </c>
      <c r="E87" s="49" t="s">
        <v>282</v>
      </c>
      <c r="F87" s="48" t="s">
        <v>37</v>
      </c>
      <c r="G87" s="48" t="s">
        <v>63</v>
      </c>
      <c r="H87" s="48">
        <v>6</v>
      </c>
      <c r="I87" s="48">
        <v>5</v>
      </c>
      <c r="J87" s="48"/>
      <c r="K87" s="48" t="str">
        <f>IF(H87=I87,"完结",IF(H87&gt;I87,"下载中"))</f>
        <v>下载中</v>
      </c>
      <c r="L87" s="48">
        <v>0</v>
      </c>
      <c r="M87" s="48"/>
      <c r="N87" s="48"/>
      <c r="O87" s="48" t="str">
        <f t="shared" si="16"/>
        <v>未</v>
      </c>
      <c r="P87" s="48"/>
      <c r="Q87" s="48"/>
      <c r="R87" s="48"/>
      <c r="S87" s="48"/>
      <c r="T87" s="48"/>
      <c r="U87" s="59"/>
      <c r="V87" s="48"/>
      <c r="W87" s="48"/>
      <c r="X87" s="48"/>
      <c r="Y87" s="48"/>
      <c r="Z87" s="48"/>
      <c r="AA87" s="48"/>
      <c r="AB87" s="48"/>
      <c r="AC87" s="48"/>
      <c r="AD87" s="48"/>
      <c r="AE87" s="48" t="e">
        <f t="shared" si="17"/>
        <v>#N/A</v>
      </c>
      <c r="AF87" s="48" t="e">
        <f t="shared" si="18"/>
        <v>#N/A</v>
      </c>
      <c r="AG87" s="48" t="e">
        <f t="shared" si="19"/>
        <v>#N/A</v>
      </c>
      <c r="AH87" s="48" t="e">
        <f t="shared" si="20"/>
        <v>#N/A</v>
      </c>
      <c r="AI87" s="48"/>
      <c r="AJ87" s="48"/>
      <c r="AK87" s="48" t="s">
        <v>176</v>
      </c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</row>
    <row r="88" spans="1:63" ht="30" customHeight="1">
      <c r="A88" s="51">
        <v>87</v>
      </c>
      <c r="B88" s="52" t="s">
        <v>82</v>
      </c>
      <c r="C88" s="51">
        <f t="shared" si="15"/>
        <v>2020</v>
      </c>
      <c r="D88" s="53">
        <v>44155</v>
      </c>
      <c r="E88" s="52" t="s">
        <v>66</v>
      </c>
      <c r="F88" s="51" t="s">
        <v>37</v>
      </c>
      <c r="G88" s="51" t="s">
        <v>72</v>
      </c>
      <c r="H88" s="51">
        <v>5</v>
      </c>
      <c r="I88" s="51">
        <v>5</v>
      </c>
      <c r="J88" s="51"/>
      <c r="K88" s="51" t="str">
        <f t="shared" si="21"/>
        <v>完结</v>
      </c>
      <c r="L88" s="51">
        <v>2</v>
      </c>
      <c r="M88" s="51"/>
      <c r="N88" s="51"/>
      <c r="O88" s="51" t="str">
        <f t="shared" si="16"/>
        <v>未</v>
      </c>
      <c r="P88" s="51" t="s">
        <v>40</v>
      </c>
      <c r="Q88" s="51" t="s">
        <v>67</v>
      </c>
      <c r="R88" s="51">
        <v>0</v>
      </c>
      <c r="S88" s="51">
        <v>0</v>
      </c>
      <c r="T88" s="51"/>
      <c r="U88" s="59"/>
      <c r="V88" s="51"/>
      <c r="W88" s="51"/>
      <c r="X88" s="51"/>
      <c r="Y88" s="51"/>
      <c r="Z88" s="51"/>
      <c r="AA88" s="51"/>
      <c r="AB88" s="51"/>
      <c r="AC88" s="51"/>
      <c r="AD88" s="51"/>
      <c r="AE88" s="51" t="str">
        <f t="shared" si="17"/>
        <v>省版</v>
      </c>
      <c r="AF88" s="51" t="str">
        <f t="shared" si="18"/>
        <v>2025/6/5</v>
      </c>
      <c r="AG88" s="51">
        <f t="shared" si="19"/>
        <v>0</v>
      </c>
      <c r="AH88" s="51">
        <f t="shared" si="20"/>
        <v>0</v>
      </c>
      <c r="AI88" s="51"/>
      <c r="AJ88" s="51"/>
      <c r="AK88" s="51" t="s">
        <v>191</v>
      </c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</row>
    <row r="89" spans="1:63" ht="30" customHeight="1">
      <c r="A89" s="54">
        <v>88</v>
      </c>
      <c r="B89" s="42" t="s">
        <v>35</v>
      </c>
      <c r="C89" s="54">
        <f t="shared" si="15"/>
        <v>2020</v>
      </c>
      <c r="D89" s="55">
        <v>44157</v>
      </c>
      <c r="E89" s="42" t="s">
        <v>283</v>
      </c>
      <c r="F89" s="54" t="s">
        <v>107</v>
      </c>
      <c r="G89" s="54" t="s">
        <v>109</v>
      </c>
      <c r="H89" s="54">
        <v>2</v>
      </c>
      <c r="I89" s="54">
        <v>2</v>
      </c>
      <c r="J89" s="54"/>
      <c r="K89" s="54" t="s">
        <v>140</v>
      </c>
      <c r="L89" s="54">
        <v>0</v>
      </c>
      <c r="M89" s="54"/>
      <c r="N89" s="54"/>
      <c r="O89" s="54" t="str">
        <f t="shared" si="16"/>
        <v>未</v>
      </c>
      <c r="P89" s="54"/>
      <c r="Q89" s="54"/>
      <c r="R89" s="54"/>
      <c r="S89" s="54"/>
      <c r="T89" s="54"/>
      <c r="U89" s="59"/>
      <c r="V89" s="54"/>
      <c r="W89" s="54"/>
      <c r="X89" s="54"/>
      <c r="Y89" s="54"/>
      <c r="Z89" s="54"/>
      <c r="AA89" s="54"/>
      <c r="AB89" s="54"/>
      <c r="AC89" s="54"/>
      <c r="AD89" s="54"/>
      <c r="AE89" s="54" t="e">
        <f t="shared" si="17"/>
        <v>#N/A</v>
      </c>
      <c r="AF89" s="54" t="e">
        <f t="shared" si="18"/>
        <v>#N/A</v>
      </c>
      <c r="AG89" s="54" t="e">
        <f t="shared" si="19"/>
        <v>#N/A</v>
      </c>
      <c r="AH89" s="54" t="e">
        <f t="shared" si="20"/>
        <v>#N/A</v>
      </c>
      <c r="AI89" s="54"/>
      <c r="AJ89" s="54"/>
      <c r="AK89" s="54" t="s">
        <v>143</v>
      </c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</row>
    <row r="90" spans="1:63" ht="30" customHeight="1">
      <c r="A90" s="51">
        <v>89</v>
      </c>
      <c r="B90" s="52" t="s">
        <v>35</v>
      </c>
      <c r="C90" s="51">
        <f t="shared" si="15"/>
        <v>2020</v>
      </c>
      <c r="D90" s="53">
        <v>44160</v>
      </c>
      <c r="E90" s="52" t="s">
        <v>284</v>
      </c>
      <c r="F90" s="51" t="s">
        <v>107</v>
      </c>
      <c r="G90" s="51" t="s">
        <v>109</v>
      </c>
      <c r="H90" s="51">
        <v>1</v>
      </c>
      <c r="I90" s="51">
        <v>1</v>
      </c>
      <c r="J90" s="51"/>
      <c r="K90" s="51" t="s">
        <v>140</v>
      </c>
      <c r="L90" s="51">
        <v>0</v>
      </c>
      <c r="M90" s="51"/>
      <c r="N90" s="51"/>
      <c r="O90" s="51" t="str">
        <f t="shared" si="16"/>
        <v>未</v>
      </c>
      <c r="P90" s="51"/>
      <c r="Q90" s="51"/>
      <c r="R90" s="51"/>
      <c r="S90" s="51"/>
      <c r="T90" s="51"/>
      <c r="U90" s="59"/>
      <c r="V90" s="51"/>
      <c r="W90" s="51"/>
      <c r="X90" s="51"/>
      <c r="Y90" s="51"/>
      <c r="Z90" s="51"/>
      <c r="AA90" s="51"/>
      <c r="AB90" s="51"/>
      <c r="AC90" s="51"/>
      <c r="AD90" s="51"/>
      <c r="AE90" s="51" t="e">
        <f t="shared" si="17"/>
        <v>#N/A</v>
      </c>
      <c r="AF90" s="51" t="e">
        <f t="shared" si="18"/>
        <v>#N/A</v>
      </c>
      <c r="AG90" s="51" t="e">
        <f t="shared" si="19"/>
        <v>#N/A</v>
      </c>
      <c r="AH90" s="51" t="e">
        <f t="shared" si="20"/>
        <v>#N/A</v>
      </c>
      <c r="AI90" s="51"/>
      <c r="AJ90" s="51"/>
      <c r="AK90" s="51" t="s">
        <v>143</v>
      </c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</row>
    <row r="91" spans="1:63" ht="30" customHeight="1">
      <c r="A91" s="45">
        <v>90</v>
      </c>
      <c r="B91" s="46" t="s">
        <v>135</v>
      </c>
      <c r="C91" s="45">
        <f t="shared" si="15"/>
        <v>2020</v>
      </c>
      <c r="D91" s="47">
        <v>44165</v>
      </c>
      <c r="E91" s="46" t="s">
        <v>285</v>
      </c>
      <c r="F91" s="45" t="s">
        <v>48</v>
      </c>
      <c r="G91" s="45" t="s">
        <v>47</v>
      </c>
      <c r="H91" s="45">
        <v>7</v>
      </c>
      <c r="I91" s="45">
        <v>7</v>
      </c>
      <c r="J91" s="45"/>
      <c r="K91" s="45" t="str">
        <f t="shared" ref="K91:K97" si="22">IF(H91=I91,"完结",IF(H91&gt;I91,"未完结"))</f>
        <v>完结</v>
      </c>
      <c r="L91" s="45">
        <v>4</v>
      </c>
      <c r="M91" s="45"/>
      <c r="N91" s="45"/>
      <c r="O91" s="45" t="str">
        <f t="shared" si="16"/>
        <v>未</v>
      </c>
      <c r="P91" s="45"/>
      <c r="Q91" s="45"/>
      <c r="R91" s="45"/>
      <c r="S91" s="45"/>
      <c r="T91" s="45"/>
      <c r="U91" s="58"/>
      <c r="V91" s="45"/>
      <c r="W91" s="45"/>
      <c r="X91" s="45"/>
      <c r="Y91" s="45"/>
      <c r="Z91" s="45"/>
      <c r="AA91" s="45"/>
      <c r="AB91" s="45"/>
      <c r="AC91" s="45"/>
      <c r="AD91" s="45"/>
      <c r="AE91" s="45" t="e">
        <f t="shared" si="17"/>
        <v>#N/A</v>
      </c>
      <c r="AF91" s="45" t="e">
        <f t="shared" si="18"/>
        <v>#N/A</v>
      </c>
      <c r="AG91" s="45" t="e">
        <f t="shared" si="19"/>
        <v>#N/A</v>
      </c>
      <c r="AH91" s="45" t="e">
        <f t="shared" si="20"/>
        <v>#N/A</v>
      </c>
      <c r="AI91" s="45"/>
      <c r="AJ91" s="45"/>
      <c r="AK91" s="45" t="s">
        <v>44</v>
      </c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</row>
    <row r="92" spans="1:63" ht="30" customHeight="1">
      <c r="A92" s="51">
        <v>91</v>
      </c>
      <c r="B92" s="52" t="s">
        <v>135</v>
      </c>
      <c r="C92" s="51">
        <f t="shared" si="15"/>
        <v>2020</v>
      </c>
      <c r="D92" s="53">
        <v>44166</v>
      </c>
      <c r="E92" s="52" t="s">
        <v>286</v>
      </c>
      <c r="F92" s="51" t="s">
        <v>48</v>
      </c>
      <c r="G92" s="51" t="s">
        <v>47</v>
      </c>
      <c r="H92" s="51">
        <v>3</v>
      </c>
      <c r="I92" s="51">
        <v>3</v>
      </c>
      <c r="J92" s="51"/>
      <c r="K92" s="51" t="str">
        <f t="shared" si="22"/>
        <v>完结</v>
      </c>
      <c r="L92" s="51">
        <v>3</v>
      </c>
      <c r="M92" s="51"/>
      <c r="N92" s="51"/>
      <c r="O92" s="51" t="str">
        <f t="shared" si="16"/>
        <v>完</v>
      </c>
      <c r="P92" s="51"/>
      <c r="Q92" s="51"/>
      <c r="R92" s="51"/>
      <c r="S92" s="51"/>
      <c r="T92" s="51"/>
      <c r="U92" s="59"/>
      <c r="V92" s="51"/>
      <c r="W92" s="51"/>
      <c r="X92" s="51"/>
      <c r="Y92" s="51"/>
      <c r="Z92" s="51"/>
      <c r="AA92" s="51"/>
      <c r="AB92" s="51"/>
      <c r="AC92" s="51"/>
      <c r="AD92" s="51"/>
      <c r="AE92" s="51" t="e">
        <f t="shared" si="17"/>
        <v>#N/A</v>
      </c>
      <c r="AF92" s="51" t="e">
        <f t="shared" si="18"/>
        <v>#N/A</v>
      </c>
      <c r="AG92" s="51" t="e">
        <f t="shared" si="19"/>
        <v>#N/A</v>
      </c>
      <c r="AH92" s="51" t="e">
        <f t="shared" si="20"/>
        <v>#N/A</v>
      </c>
      <c r="AI92" s="51"/>
      <c r="AJ92" s="51"/>
      <c r="AK92" s="51" t="s">
        <v>276</v>
      </c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</row>
    <row r="93" spans="1:63" ht="30" customHeight="1">
      <c r="A93" s="48">
        <v>92</v>
      </c>
      <c r="B93" s="49" t="s">
        <v>58</v>
      </c>
      <c r="C93" s="48">
        <f t="shared" si="15"/>
        <v>2020</v>
      </c>
      <c r="D93" s="50">
        <v>44169</v>
      </c>
      <c r="E93" s="49" t="s">
        <v>287</v>
      </c>
      <c r="F93" s="48" t="s">
        <v>37</v>
      </c>
      <c r="G93" s="48" t="s">
        <v>72</v>
      </c>
      <c r="H93" s="48">
        <v>10</v>
      </c>
      <c r="I93" s="48">
        <v>10</v>
      </c>
      <c r="J93" s="48"/>
      <c r="K93" s="48" t="str">
        <f t="shared" si="22"/>
        <v>完结</v>
      </c>
      <c r="L93" s="48">
        <v>10</v>
      </c>
      <c r="M93" s="48"/>
      <c r="N93" s="48"/>
      <c r="O93" s="48" t="str">
        <f t="shared" si="16"/>
        <v>完</v>
      </c>
      <c r="P93" s="48"/>
      <c r="Q93" s="48"/>
      <c r="R93" s="48"/>
      <c r="S93" s="48"/>
      <c r="T93" s="48"/>
      <c r="U93" s="59"/>
      <c r="V93" s="48"/>
      <c r="W93" s="48"/>
      <c r="X93" s="48"/>
      <c r="Y93" s="48"/>
      <c r="Z93" s="48"/>
      <c r="AA93" s="48"/>
      <c r="AB93" s="48"/>
      <c r="AC93" s="48"/>
      <c r="AD93" s="48"/>
      <c r="AE93" s="48" t="e">
        <f t="shared" si="17"/>
        <v>#N/A</v>
      </c>
      <c r="AF93" s="48" t="e">
        <f t="shared" si="18"/>
        <v>#N/A</v>
      </c>
      <c r="AG93" s="48" t="e">
        <f t="shared" si="19"/>
        <v>#N/A</v>
      </c>
      <c r="AH93" s="48" t="e">
        <f t="shared" si="20"/>
        <v>#N/A</v>
      </c>
      <c r="AI93" s="48"/>
      <c r="AJ93" s="48"/>
      <c r="AK93" s="48" t="s">
        <v>76</v>
      </c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</row>
    <row r="94" spans="1:63" ht="30" customHeight="1">
      <c r="A94" s="51">
        <v>93</v>
      </c>
      <c r="B94" s="52" t="s">
        <v>135</v>
      </c>
      <c r="C94" s="51">
        <f t="shared" si="15"/>
        <v>2020</v>
      </c>
      <c r="D94" s="53">
        <v>44170</v>
      </c>
      <c r="E94" s="52" t="s">
        <v>288</v>
      </c>
      <c r="F94" s="51" t="s">
        <v>37</v>
      </c>
      <c r="G94" s="51" t="s">
        <v>47</v>
      </c>
      <c r="H94" s="51">
        <v>3</v>
      </c>
      <c r="I94" s="51">
        <v>3</v>
      </c>
      <c r="J94" s="51"/>
      <c r="K94" s="51" t="str">
        <f t="shared" si="22"/>
        <v>完结</v>
      </c>
      <c r="L94" s="51">
        <v>3</v>
      </c>
      <c r="M94" s="51"/>
      <c r="N94" s="51"/>
      <c r="O94" s="51" t="str">
        <f t="shared" si="16"/>
        <v>完</v>
      </c>
      <c r="P94" s="51"/>
      <c r="Q94" s="51"/>
      <c r="R94" s="51"/>
      <c r="S94" s="51"/>
      <c r="T94" s="51"/>
      <c r="U94" s="59"/>
      <c r="V94" s="51"/>
      <c r="W94" s="51"/>
      <c r="X94" s="51"/>
      <c r="Y94" s="51"/>
      <c r="Z94" s="51"/>
      <c r="AA94" s="51"/>
      <c r="AB94" s="51"/>
      <c r="AC94" s="51"/>
      <c r="AD94" s="51"/>
      <c r="AE94" s="51" t="e">
        <f t="shared" si="17"/>
        <v>#N/A</v>
      </c>
      <c r="AF94" s="51" t="e">
        <f t="shared" si="18"/>
        <v>#N/A</v>
      </c>
      <c r="AG94" s="51" t="e">
        <f t="shared" si="19"/>
        <v>#N/A</v>
      </c>
      <c r="AH94" s="51" t="e">
        <f t="shared" si="20"/>
        <v>#N/A</v>
      </c>
      <c r="AI94" s="51"/>
      <c r="AJ94" s="51"/>
      <c r="AK94" s="51" t="s">
        <v>276</v>
      </c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</row>
    <row r="95" spans="1:63" ht="30" customHeight="1">
      <c r="A95" s="54">
        <v>94</v>
      </c>
      <c r="B95" s="42" t="s">
        <v>151</v>
      </c>
      <c r="C95" s="54">
        <f t="shared" si="15"/>
        <v>2020</v>
      </c>
      <c r="D95" s="55">
        <v>44172</v>
      </c>
      <c r="E95" s="42" t="s">
        <v>289</v>
      </c>
      <c r="F95" s="54" t="s">
        <v>81</v>
      </c>
      <c r="G95" s="54" t="s">
        <v>88</v>
      </c>
      <c r="H95" s="54">
        <v>6</v>
      </c>
      <c r="I95" s="54">
        <v>6</v>
      </c>
      <c r="J95" s="54"/>
      <c r="K95" s="54" t="str">
        <f t="shared" si="22"/>
        <v>完结</v>
      </c>
      <c r="L95" s="54">
        <v>0</v>
      </c>
      <c r="M95" s="54"/>
      <c r="N95" s="54"/>
      <c r="O95" s="54" t="str">
        <f t="shared" si="16"/>
        <v>未</v>
      </c>
      <c r="P95" s="54"/>
      <c r="Q95" s="54"/>
      <c r="R95" s="54"/>
      <c r="S95" s="54"/>
      <c r="T95" s="54"/>
      <c r="U95" s="59"/>
      <c r="V95" s="54"/>
      <c r="W95" s="54"/>
      <c r="X95" s="54"/>
      <c r="Y95" s="54"/>
      <c r="Z95" s="54"/>
      <c r="AA95" s="54"/>
      <c r="AB95" s="54"/>
      <c r="AC95" s="54"/>
      <c r="AD95" s="54"/>
      <c r="AE95" s="54" t="e">
        <f t="shared" si="17"/>
        <v>#N/A</v>
      </c>
      <c r="AF95" s="54" t="e">
        <f t="shared" si="18"/>
        <v>#N/A</v>
      </c>
      <c r="AG95" s="54" t="e">
        <f t="shared" si="19"/>
        <v>#N/A</v>
      </c>
      <c r="AH95" s="54" t="e">
        <f t="shared" si="20"/>
        <v>#N/A</v>
      </c>
      <c r="AI95" s="54"/>
      <c r="AJ95" s="54"/>
      <c r="AK95" s="54" t="s">
        <v>176</v>
      </c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</row>
    <row r="96" spans="1:63" ht="30" customHeight="1">
      <c r="A96" s="51">
        <v>95</v>
      </c>
      <c r="B96" s="52" t="s">
        <v>135</v>
      </c>
      <c r="C96" s="51">
        <f t="shared" si="15"/>
        <v>2020</v>
      </c>
      <c r="D96" s="53">
        <v>44175</v>
      </c>
      <c r="E96" s="52" t="s">
        <v>290</v>
      </c>
      <c r="F96" s="51" t="s">
        <v>37</v>
      </c>
      <c r="G96" s="51" t="s">
        <v>47</v>
      </c>
      <c r="H96" s="51">
        <v>3</v>
      </c>
      <c r="I96" s="51">
        <v>3</v>
      </c>
      <c r="J96" s="51"/>
      <c r="K96" s="51" t="str">
        <f t="shared" si="22"/>
        <v>完结</v>
      </c>
      <c r="L96" s="51">
        <v>3</v>
      </c>
      <c r="M96" s="51"/>
      <c r="N96" s="51"/>
      <c r="O96" s="51" t="str">
        <f t="shared" si="16"/>
        <v>完</v>
      </c>
      <c r="P96" s="51"/>
      <c r="Q96" s="51"/>
      <c r="R96" s="51"/>
      <c r="S96" s="51"/>
      <c r="T96" s="51"/>
      <c r="U96" s="59"/>
      <c r="V96" s="51"/>
      <c r="W96" s="51"/>
      <c r="X96" s="51"/>
      <c r="Y96" s="51"/>
      <c r="Z96" s="51"/>
      <c r="AA96" s="51"/>
      <c r="AB96" s="51"/>
      <c r="AC96" s="51"/>
      <c r="AD96" s="51"/>
      <c r="AE96" s="51" t="e">
        <f t="shared" si="17"/>
        <v>#N/A</v>
      </c>
      <c r="AF96" s="51" t="e">
        <f t="shared" si="18"/>
        <v>#N/A</v>
      </c>
      <c r="AG96" s="51" t="e">
        <f t="shared" si="19"/>
        <v>#N/A</v>
      </c>
      <c r="AH96" s="51" t="e">
        <f t="shared" si="20"/>
        <v>#N/A</v>
      </c>
      <c r="AI96" s="51"/>
      <c r="AJ96" s="51"/>
      <c r="AK96" s="51" t="s">
        <v>276</v>
      </c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</row>
    <row r="97" spans="1:63" ht="30" customHeight="1">
      <c r="A97" s="45">
        <v>96</v>
      </c>
      <c r="B97" s="46" t="s">
        <v>135</v>
      </c>
      <c r="C97" s="45">
        <f t="shared" si="15"/>
        <v>2020</v>
      </c>
      <c r="D97" s="47">
        <v>44179</v>
      </c>
      <c r="E97" s="46" t="s">
        <v>291</v>
      </c>
      <c r="F97" s="45" t="s">
        <v>48</v>
      </c>
      <c r="G97" s="45" t="s">
        <v>47</v>
      </c>
      <c r="H97" s="45">
        <v>1</v>
      </c>
      <c r="I97" s="45">
        <v>1</v>
      </c>
      <c r="J97" s="45"/>
      <c r="K97" s="45" t="str">
        <f t="shared" si="22"/>
        <v>完结</v>
      </c>
      <c r="L97" s="45">
        <v>1</v>
      </c>
      <c r="M97" s="45"/>
      <c r="N97" s="45"/>
      <c r="O97" s="45" t="str">
        <f t="shared" si="16"/>
        <v>完</v>
      </c>
      <c r="P97" s="45"/>
      <c r="Q97" s="45"/>
      <c r="R97" s="45"/>
      <c r="S97" s="45"/>
      <c r="T97" s="45"/>
      <c r="U97" s="58"/>
      <c r="V97" s="45"/>
      <c r="W97" s="45"/>
      <c r="X97" s="45"/>
      <c r="Y97" s="45"/>
      <c r="Z97" s="45"/>
      <c r="AA97" s="45"/>
      <c r="AB97" s="45"/>
      <c r="AC97" s="45"/>
      <c r="AD97" s="45"/>
      <c r="AE97" s="45" t="e">
        <f t="shared" si="17"/>
        <v>#N/A</v>
      </c>
      <c r="AF97" s="45" t="e">
        <f t="shared" si="18"/>
        <v>#N/A</v>
      </c>
      <c r="AG97" s="45" t="e">
        <f t="shared" si="19"/>
        <v>#N/A</v>
      </c>
      <c r="AH97" s="45" t="e">
        <f t="shared" si="20"/>
        <v>#N/A</v>
      </c>
      <c r="AI97" s="45"/>
      <c r="AJ97" s="45"/>
      <c r="AK97" s="45" t="s">
        <v>276</v>
      </c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</row>
    <row r="98" spans="1:63" ht="30" customHeight="1">
      <c r="A98" s="51">
        <v>97</v>
      </c>
      <c r="B98" s="52" t="s">
        <v>61</v>
      </c>
      <c r="C98" s="51">
        <f t="shared" si="15"/>
        <v>2020</v>
      </c>
      <c r="D98" s="53">
        <v>44180</v>
      </c>
      <c r="E98" s="52" t="s">
        <v>292</v>
      </c>
      <c r="F98" s="51" t="s">
        <v>107</v>
      </c>
      <c r="G98" s="51" t="s">
        <v>55</v>
      </c>
      <c r="H98" s="51">
        <v>20</v>
      </c>
      <c r="I98" s="51">
        <v>2</v>
      </c>
      <c r="J98" s="51"/>
      <c r="K98" s="51" t="s">
        <v>140</v>
      </c>
      <c r="L98" s="51"/>
      <c r="M98" s="51"/>
      <c r="N98" s="51"/>
      <c r="O98" s="51" t="str">
        <f t="shared" ref="O98:O129" si="23">IF(H98=L98,"完",IF(H98&gt;L98,"未"))</f>
        <v>未</v>
      </c>
      <c r="P98" s="51"/>
      <c r="Q98" s="51"/>
      <c r="R98" s="51"/>
      <c r="S98" s="51"/>
      <c r="T98" s="51"/>
      <c r="U98" s="59"/>
      <c r="V98" s="51"/>
      <c r="W98" s="51"/>
      <c r="X98" s="51"/>
      <c r="Y98" s="51"/>
      <c r="Z98" s="51"/>
      <c r="AA98" s="51"/>
      <c r="AB98" s="51"/>
      <c r="AC98" s="51"/>
      <c r="AD98" s="51"/>
      <c r="AE98" s="51" t="e">
        <f t="shared" ref="AE98:AE129" si="24">VLOOKUP($E98,$Z$2:$AD$76,2,FALSE)</f>
        <v>#N/A</v>
      </c>
      <c r="AF98" s="51" t="e">
        <f t="shared" ref="AF98:AF129" si="25">VLOOKUP($E98,$Z$2:$AD$76,3,FALSE)</f>
        <v>#N/A</v>
      </c>
      <c r="AG98" s="51" t="e">
        <f t="shared" ref="AG98:AG129" si="26">VLOOKUP($E98,$Z$2:$AD$76,4,FALSE)</f>
        <v>#N/A</v>
      </c>
      <c r="AH98" s="51" t="e">
        <f t="shared" ref="AH98:AH129" si="27">VLOOKUP($E98,$Z$2:$AD$76,5,FALSE)</f>
        <v>#N/A</v>
      </c>
      <c r="AI98" s="51"/>
      <c r="AJ98" s="51"/>
      <c r="AK98" s="51" t="s">
        <v>143</v>
      </c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</row>
    <row r="99" spans="1:63" ht="30" customHeight="1">
      <c r="A99" s="48">
        <v>98</v>
      </c>
      <c r="B99" s="49" t="s">
        <v>61</v>
      </c>
      <c r="C99" s="48">
        <f t="shared" si="15"/>
        <v>2020</v>
      </c>
      <c r="D99" s="50">
        <v>44183</v>
      </c>
      <c r="E99" s="49" t="s">
        <v>293</v>
      </c>
      <c r="F99" s="48" t="s">
        <v>107</v>
      </c>
      <c r="G99" s="48" t="s">
        <v>55</v>
      </c>
      <c r="H99" s="48">
        <v>10</v>
      </c>
      <c r="I99" s="48">
        <v>2</v>
      </c>
      <c r="J99" s="48"/>
      <c r="K99" s="48" t="s">
        <v>140</v>
      </c>
      <c r="L99" s="48">
        <v>0</v>
      </c>
      <c r="M99" s="48"/>
      <c r="N99" s="48"/>
      <c r="O99" s="48" t="str">
        <f t="shared" si="23"/>
        <v>未</v>
      </c>
      <c r="P99" s="48"/>
      <c r="Q99" s="48"/>
      <c r="R99" s="48"/>
      <c r="S99" s="48"/>
      <c r="T99" s="48"/>
      <c r="U99" s="59"/>
      <c r="V99" s="48"/>
      <c r="W99" s="48"/>
      <c r="X99" s="48"/>
      <c r="Y99" s="48"/>
      <c r="Z99" s="48"/>
      <c r="AA99" s="48"/>
      <c r="AB99" s="48"/>
      <c r="AC99" s="48"/>
      <c r="AD99" s="48"/>
      <c r="AE99" s="48" t="e">
        <f t="shared" si="24"/>
        <v>#N/A</v>
      </c>
      <c r="AF99" s="48" t="e">
        <f t="shared" si="25"/>
        <v>#N/A</v>
      </c>
      <c r="AG99" s="48" t="e">
        <f t="shared" si="26"/>
        <v>#N/A</v>
      </c>
      <c r="AH99" s="48" t="e">
        <f t="shared" si="27"/>
        <v>#N/A</v>
      </c>
      <c r="AI99" s="48"/>
      <c r="AJ99" s="48"/>
      <c r="AK99" s="48" t="s">
        <v>143</v>
      </c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</row>
    <row r="100" spans="1:63" ht="30" customHeight="1">
      <c r="A100" s="51">
        <v>99</v>
      </c>
      <c r="B100" s="52" t="s">
        <v>61</v>
      </c>
      <c r="C100" s="51">
        <f t="shared" si="15"/>
        <v>2020</v>
      </c>
      <c r="D100" s="53">
        <v>44185</v>
      </c>
      <c r="E100" s="52" t="s">
        <v>294</v>
      </c>
      <c r="F100" s="51" t="s">
        <v>37</v>
      </c>
      <c r="G100" s="51" t="s">
        <v>55</v>
      </c>
      <c r="H100" s="51">
        <v>23</v>
      </c>
      <c r="I100" s="51">
        <v>9</v>
      </c>
      <c r="J100" s="51"/>
      <c r="K100" s="51" t="str">
        <f>IF(H100=I100,"完结",IF(H100&gt;I100,"下载中"))</f>
        <v>下载中</v>
      </c>
      <c r="L100" s="51">
        <v>9</v>
      </c>
      <c r="M100" s="51"/>
      <c r="N100" s="51"/>
      <c r="O100" s="51" t="str">
        <f t="shared" si="23"/>
        <v>未</v>
      </c>
      <c r="P100" s="51"/>
      <c r="Q100" s="51"/>
      <c r="R100" s="51"/>
      <c r="S100" s="51"/>
      <c r="T100" s="51"/>
      <c r="U100" s="59"/>
      <c r="V100" s="51"/>
      <c r="W100" s="51"/>
      <c r="X100" s="51"/>
      <c r="Y100" s="51"/>
      <c r="Z100" s="51"/>
      <c r="AA100" s="51"/>
      <c r="AB100" s="51"/>
      <c r="AC100" s="51"/>
      <c r="AD100" s="51"/>
      <c r="AE100" s="51" t="e">
        <f t="shared" si="24"/>
        <v>#N/A</v>
      </c>
      <c r="AF100" s="51" t="e">
        <f t="shared" si="25"/>
        <v>#N/A</v>
      </c>
      <c r="AG100" s="51" t="e">
        <f t="shared" si="26"/>
        <v>#N/A</v>
      </c>
      <c r="AH100" s="51" t="e">
        <f t="shared" si="27"/>
        <v>#N/A</v>
      </c>
      <c r="AI100" s="51"/>
      <c r="AJ100" s="51"/>
      <c r="AK100" s="51" t="s">
        <v>44</v>
      </c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</row>
    <row r="101" spans="1:63" ht="30" customHeight="1">
      <c r="A101" s="54">
        <v>100</v>
      </c>
      <c r="B101" s="42" t="s">
        <v>61</v>
      </c>
      <c r="C101" s="54">
        <f t="shared" si="15"/>
        <v>2020</v>
      </c>
      <c r="D101" s="55">
        <v>44186</v>
      </c>
      <c r="E101" s="42" t="s">
        <v>295</v>
      </c>
      <c r="F101" s="54" t="s">
        <v>107</v>
      </c>
      <c r="G101" s="54" t="s">
        <v>55</v>
      </c>
      <c r="H101" s="54">
        <v>1</v>
      </c>
      <c r="I101" s="54">
        <v>1</v>
      </c>
      <c r="J101" s="54"/>
      <c r="K101" s="54" t="s">
        <v>140</v>
      </c>
      <c r="L101" s="54"/>
      <c r="M101" s="54"/>
      <c r="N101" s="54"/>
      <c r="O101" s="54" t="str">
        <f t="shared" si="23"/>
        <v>未</v>
      </c>
      <c r="P101" s="54"/>
      <c r="Q101" s="54"/>
      <c r="R101" s="54"/>
      <c r="S101" s="54"/>
      <c r="T101" s="54"/>
      <c r="U101" s="59"/>
      <c r="V101" s="54"/>
      <c r="W101" s="54"/>
      <c r="X101" s="54"/>
      <c r="Y101" s="54"/>
      <c r="Z101" s="54"/>
      <c r="AA101" s="54"/>
      <c r="AB101" s="54"/>
      <c r="AC101" s="54"/>
      <c r="AD101" s="54"/>
      <c r="AE101" s="54" t="e">
        <f t="shared" si="24"/>
        <v>#N/A</v>
      </c>
      <c r="AF101" s="54" t="e">
        <f t="shared" si="25"/>
        <v>#N/A</v>
      </c>
      <c r="AG101" s="54" t="e">
        <f t="shared" si="26"/>
        <v>#N/A</v>
      </c>
      <c r="AH101" s="54" t="e">
        <f t="shared" si="27"/>
        <v>#N/A</v>
      </c>
      <c r="AI101" s="54"/>
      <c r="AJ101" s="54"/>
      <c r="AK101" s="54" t="s">
        <v>143</v>
      </c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</row>
    <row r="102" spans="1:63" ht="30" customHeight="1">
      <c r="A102" s="51">
        <v>101</v>
      </c>
      <c r="B102" s="52" t="s">
        <v>61</v>
      </c>
      <c r="C102" s="51">
        <f t="shared" si="15"/>
        <v>2020</v>
      </c>
      <c r="D102" s="53">
        <v>44187</v>
      </c>
      <c r="E102" s="52" t="s">
        <v>296</v>
      </c>
      <c r="F102" s="51" t="s">
        <v>37</v>
      </c>
      <c r="G102" s="51" t="s">
        <v>47</v>
      </c>
      <c r="H102" s="51">
        <v>12</v>
      </c>
      <c r="I102" s="51">
        <v>12</v>
      </c>
      <c r="J102" s="51"/>
      <c r="K102" s="51" t="str">
        <f>IF(H102=I102,"完结",IF(H102&gt;I102,"未完结"))</f>
        <v>完结</v>
      </c>
      <c r="L102" s="51">
        <v>12</v>
      </c>
      <c r="M102" s="51"/>
      <c r="N102" s="51"/>
      <c r="O102" s="51" t="str">
        <f t="shared" si="23"/>
        <v>完</v>
      </c>
      <c r="P102" s="51"/>
      <c r="Q102" s="51"/>
      <c r="R102" s="51"/>
      <c r="S102" s="51"/>
      <c r="T102" s="51"/>
      <c r="U102" s="59"/>
      <c r="V102" s="51"/>
      <c r="W102" s="51"/>
      <c r="X102" s="51"/>
      <c r="Y102" s="51"/>
      <c r="Z102" s="51"/>
      <c r="AA102" s="51"/>
      <c r="AB102" s="51"/>
      <c r="AC102" s="51"/>
      <c r="AD102" s="51"/>
      <c r="AE102" s="51" t="e">
        <f t="shared" si="24"/>
        <v>#N/A</v>
      </c>
      <c r="AF102" s="51" t="e">
        <f t="shared" si="25"/>
        <v>#N/A</v>
      </c>
      <c r="AG102" s="51" t="e">
        <f t="shared" si="26"/>
        <v>#N/A</v>
      </c>
      <c r="AH102" s="51" t="e">
        <f t="shared" si="27"/>
        <v>#N/A</v>
      </c>
      <c r="AI102" s="51"/>
      <c r="AJ102" s="51"/>
      <c r="AK102" s="51" t="s">
        <v>44</v>
      </c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</row>
    <row r="103" spans="1:63" ht="30" customHeight="1">
      <c r="A103" s="45">
        <v>102</v>
      </c>
      <c r="B103" s="46" t="s">
        <v>135</v>
      </c>
      <c r="C103" s="45">
        <f t="shared" si="15"/>
        <v>2020</v>
      </c>
      <c r="D103" s="47">
        <v>44189</v>
      </c>
      <c r="E103" s="46" t="s">
        <v>297</v>
      </c>
      <c r="F103" s="45" t="s">
        <v>37</v>
      </c>
      <c r="G103" s="45" t="s">
        <v>47</v>
      </c>
      <c r="H103" s="45">
        <v>8</v>
      </c>
      <c r="I103" s="45">
        <v>8</v>
      </c>
      <c r="J103" s="45"/>
      <c r="K103" s="45" t="str">
        <f>IF(H103=I103,"完结",IF(H103&gt;I103,"未完结"))</f>
        <v>完结</v>
      </c>
      <c r="L103" s="45">
        <v>8</v>
      </c>
      <c r="M103" s="45"/>
      <c r="N103" s="45"/>
      <c r="O103" s="45" t="str">
        <f t="shared" si="23"/>
        <v>完</v>
      </c>
      <c r="P103" s="45"/>
      <c r="Q103" s="45"/>
      <c r="R103" s="45"/>
      <c r="S103" s="45"/>
      <c r="T103" s="45"/>
      <c r="U103" s="58"/>
      <c r="V103" s="45"/>
      <c r="W103" s="45"/>
      <c r="X103" s="45"/>
      <c r="Y103" s="45"/>
      <c r="Z103" s="45"/>
      <c r="AA103" s="45"/>
      <c r="AB103" s="45"/>
      <c r="AC103" s="45"/>
      <c r="AD103" s="45"/>
      <c r="AE103" s="45" t="e">
        <f t="shared" si="24"/>
        <v>#N/A</v>
      </c>
      <c r="AF103" s="45" t="e">
        <f t="shared" si="25"/>
        <v>#N/A</v>
      </c>
      <c r="AG103" s="45" t="e">
        <f t="shared" si="26"/>
        <v>#N/A</v>
      </c>
      <c r="AH103" s="45" t="e">
        <f t="shared" si="27"/>
        <v>#N/A</v>
      </c>
      <c r="AI103" s="45"/>
      <c r="AJ103" s="45"/>
      <c r="AK103" s="45" t="s">
        <v>276</v>
      </c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</row>
    <row r="104" spans="1:63" ht="30" customHeight="1">
      <c r="A104" s="51">
        <v>103</v>
      </c>
      <c r="B104" s="52" t="s">
        <v>151</v>
      </c>
      <c r="C104" s="51">
        <f t="shared" si="15"/>
        <v>2020</v>
      </c>
      <c r="D104" s="53">
        <v>44192</v>
      </c>
      <c r="E104" s="52" t="s">
        <v>298</v>
      </c>
      <c r="F104" s="51" t="s">
        <v>37</v>
      </c>
      <c r="G104" s="51" t="s">
        <v>47</v>
      </c>
      <c r="H104" s="51">
        <v>10</v>
      </c>
      <c r="I104" s="51">
        <v>10</v>
      </c>
      <c r="J104" s="51"/>
      <c r="K104" s="51" t="str">
        <f>IF(H104=I104,"完结",IF(H104&gt;I104,"未完结"))</f>
        <v>完结</v>
      </c>
      <c r="L104" s="51">
        <v>10</v>
      </c>
      <c r="M104" s="51"/>
      <c r="N104" s="51"/>
      <c r="O104" s="51" t="str">
        <f t="shared" si="23"/>
        <v>完</v>
      </c>
      <c r="P104" s="51"/>
      <c r="Q104" s="51"/>
      <c r="R104" s="51"/>
      <c r="S104" s="51"/>
      <c r="T104" s="51"/>
      <c r="U104" s="59"/>
      <c r="V104" s="51"/>
      <c r="W104" s="51"/>
      <c r="X104" s="51"/>
      <c r="Y104" s="51"/>
      <c r="Z104" s="51"/>
      <c r="AA104" s="51"/>
      <c r="AB104" s="51"/>
      <c r="AC104" s="51"/>
      <c r="AD104" s="51"/>
      <c r="AE104" s="51" t="e">
        <f t="shared" si="24"/>
        <v>#N/A</v>
      </c>
      <c r="AF104" s="51" t="e">
        <f t="shared" si="25"/>
        <v>#N/A</v>
      </c>
      <c r="AG104" s="51" t="e">
        <f t="shared" si="26"/>
        <v>#N/A</v>
      </c>
      <c r="AH104" s="51" t="e">
        <f t="shared" si="27"/>
        <v>#N/A</v>
      </c>
      <c r="AI104" s="51"/>
      <c r="AJ104" s="51"/>
      <c r="AK104" s="51" t="s">
        <v>44</v>
      </c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</row>
    <row r="105" spans="1:63" ht="30" customHeight="1">
      <c r="A105" s="48">
        <v>104</v>
      </c>
      <c r="B105" s="49" t="s">
        <v>77</v>
      </c>
      <c r="C105" s="48">
        <f t="shared" si="15"/>
        <v>2020</v>
      </c>
      <c r="D105" s="50">
        <v>44196</v>
      </c>
      <c r="E105" s="49" t="s">
        <v>299</v>
      </c>
      <c r="F105" s="48" t="s">
        <v>54</v>
      </c>
      <c r="G105" s="48" t="s">
        <v>72</v>
      </c>
      <c r="H105" s="48">
        <v>3</v>
      </c>
      <c r="I105" s="48">
        <v>3</v>
      </c>
      <c r="J105" s="48"/>
      <c r="K105" s="48" t="str">
        <f>IF(H105=I105,"完结",IF(H105&gt;I105,"未完结"))</f>
        <v>完结</v>
      </c>
      <c r="L105" s="48">
        <v>3</v>
      </c>
      <c r="M105" s="48"/>
      <c r="N105" s="48"/>
      <c r="O105" s="48" t="str">
        <f t="shared" si="23"/>
        <v>完</v>
      </c>
      <c r="P105" s="48"/>
      <c r="Q105" s="48"/>
      <c r="R105" s="48"/>
      <c r="S105" s="48"/>
      <c r="T105" s="48"/>
      <c r="U105" s="59"/>
      <c r="V105" s="48"/>
      <c r="W105" s="48"/>
      <c r="X105" s="48"/>
      <c r="Y105" s="48"/>
      <c r="Z105" s="48"/>
      <c r="AA105" s="48"/>
      <c r="AB105" s="48"/>
      <c r="AC105" s="48"/>
      <c r="AD105" s="48"/>
      <c r="AE105" s="48" t="e">
        <f t="shared" si="24"/>
        <v>#N/A</v>
      </c>
      <c r="AF105" s="48" t="e">
        <f t="shared" si="25"/>
        <v>#N/A</v>
      </c>
      <c r="AG105" s="48" t="e">
        <f t="shared" si="26"/>
        <v>#N/A</v>
      </c>
      <c r="AH105" s="48" t="e">
        <f t="shared" si="27"/>
        <v>#N/A</v>
      </c>
      <c r="AI105" s="48"/>
      <c r="AJ105" s="48"/>
      <c r="AK105" s="48" t="s">
        <v>191</v>
      </c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</row>
    <row r="106" spans="1:63" ht="30" customHeight="1">
      <c r="A106" s="51">
        <v>105</v>
      </c>
      <c r="B106" s="52" t="s">
        <v>130</v>
      </c>
      <c r="C106" s="51">
        <f t="shared" si="15"/>
        <v>2021</v>
      </c>
      <c r="D106" s="53">
        <v>44198</v>
      </c>
      <c r="E106" s="52" t="s">
        <v>300</v>
      </c>
      <c r="F106" s="51" t="s">
        <v>37</v>
      </c>
      <c r="G106" s="51" t="s">
        <v>55</v>
      </c>
      <c r="H106" s="51">
        <v>8</v>
      </c>
      <c r="I106" s="51">
        <v>8</v>
      </c>
      <c r="J106" s="51"/>
      <c r="K106" s="51" t="str">
        <f>IF(H106=I106,"完结",IF(H106&gt;I106,"未完结"))</f>
        <v>完结</v>
      </c>
      <c r="L106" s="51">
        <v>2</v>
      </c>
      <c r="M106" s="51"/>
      <c r="N106" s="51"/>
      <c r="O106" s="51" t="str">
        <f t="shared" si="23"/>
        <v>未</v>
      </c>
      <c r="P106" s="51"/>
      <c r="Q106" s="51"/>
      <c r="R106" s="51"/>
      <c r="S106" s="51"/>
      <c r="T106" s="51"/>
      <c r="U106" s="59"/>
      <c r="V106" s="51"/>
      <c r="W106" s="51"/>
      <c r="X106" s="51"/>
      <c r="Y106" s="51"/>
      <c r="Z106" s="51"/>
      <c r="AA106" s="51"/>
      <c r="AB106" s="51"/>
      <c r="AC106" s="51"/>
      <c r="AD106" s="51"/>
      <c r="AE106" s="51" t="e">
        <f t="shared" si="24"/>
        <v>#N/A</v>
      </c>
      <c r="AF106" s="51" t="e">
        <f t="shared" si="25"/>
        <v>#N/A</v>
      </c>
      <c r="AG106" s="51" t="e">
        <f t="shared" si="26"/>
        <v>#N/A</v>
      </c>
      <c r="AH106" s="51" t="e">
        <f t="shared" si="27"/>
        <v>#N/A</v>
      </c>
      <c r="AI106" s="51"/>
      <c r="AJ106" s="51"/>
      <c r="AK106" s="51" t="s">
        <v>276</v>
      </c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</row>
    <row r="107" spans="1:63" ht="30" customHeight="1">
      <c r="A107" s="54">
        <v>106</v>
      </c>
      <c r="B107" s="42" t="s">
        <v>151</v>
      </c>
      <c r="C107" s="54">
        <f t="shared" si="15"/>
        <v>2021</v>
      </c>
      <c r="D107" s="55">
        <v>44200</v>
      </c>
      <c r="E107" s="42" t="s">
        <v>301</v>
      </c>
      <c r="F107" s="54" t="s">
        <v>107</v>
      </c>
      <c r="G107" s="54" t="s">
        <v>72</v>
      </c>
      <c r="H107" s="54">
        <v>8</v>
      </c>
      <c r="I107" s="54">
        <v>1</v>
      </c>
      <c r="J107" s="54"/>
      <c r="K107" s="54" t="s">
        <v>140</v>
      </c>
      <c r="L107" s="54">
        <v>0</v>
      </c>
      <c r="M107" s="54"/>
      <c r="N107" s="54"/>
      <c r="O107" s="54" t="str">
        <f t="shared" si="23"/>
        <v>未</v>
      </c>
      <c r="P107" s="54"/>
      <c r="Q107" s="54"/>
      <c r="R107" s="54"/>
      <c r="S107" s="54"/>
      <c r="T107" s="54"/>
      <c r="U107" s="59"/>
      <c r="V107" s="54"/>
      <c r="W107" s="54"/>
      <c r="X107" s="54"/>
      <c r="Y107" s="54"/>
      <c r="Z107" s="54"/>
      <c r="AA107" s="54"/>
      <c r="AB107" s="54"/>
      <c r="AC107" s="54"/>
      <c r="AD107" s="54"/>
      <c r="AE107" s="54" t="e">
        <f t="shared" si="24"/>
        <v>#N/A</v>
      </c>
      <c r="AF107" s="54" t="e">
        <f t="shared" si="25"/>
        <v>#N/A</v>
      </c>
      <c r="AG107" s="54" t="e">
        <f t="shared" si="26"/>
        <v>#N/A</v>
      </c>
      <c r="AH107" s="54" t="e">
        <f t="shared" si="27"/>
        <v>#N/A</v>
      </c>
      <c r="AI107" s="54"/>
      <c r="AJ107" s="54"/>
      <c r="AK107" s="54" t="s">
        <v>143</v>
      </c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</row>
    <row r="108" spans="1:63" ht="30" customHeight="1">
      <c r="A108" s="51">
        <v>107</v>
      </c>
      <c r="B108" s="52" t="s">
        <v>151</v>
      </c>
      <c r="C108" s="51">
        <f t="shared" si="15"/>
        <v>2021</v>
      </c>
      <c r="D108" s="53">
        <v>44201</v>
      </c>
      <c r="E108" s="52" t="s">
        <v>302</v>
      </c>
      <c r="F108" s="51" t="s">
        <v>107</v>
      </c>
      <c r="G108" s="51" t="s">
        <v>72</v>
      </c>
      <c r="H108" s="51">
        <v>2</v>
      </c>
      <c r="I108" s="51">
        <v>2</v>
      </c>
      <c r="J108" s="51"/>
      <c r="K108" s="51" t="s">
        <v>140</v>
      </c>
      <c r="L108" s="51">
        <v>0</v>
      </c>
      <c r="M108" s="51"/>
      <c r="N108" s="51"/>
      <c r="O108" s="51" t="str">
        <f t="shared" si="23"/>
        <v>未</v>
      </c>
      <c r="P108" s="51"/>
      <c r="Q108" s="51"/>
      <c r="R108" s="51"/>
      <c r="S108" s="51"/>
      <c r="T108" s="51"/>
      <c r="U108" s="59"/>
      <c r="V108" s="51"/>
      <c r="W108" s="51"/>
      <c r="X108" s="51"/>
      <c r="Y108" s="51"/>
      <c r="Z108" s="51"/>
      <c r="AA108" s="51"/>
      <c r="AB108" s="51"/>
      <c r="AC108" s="51"/>
      <c r="AD108" s="51"/>
      <c r="AE108" s="51" t="e">
        <f t="shared" si="24"/>
        <v>#N/A</v>
      </c>
      <c r="AF108" s="51" t="e">
        <f t="shared" si="25"/>
        <v>#N/A</v>
      </c>
      <c r="AG108" s="51" t="e">
        <f t="shared" si="26"/>
        <v>#N/A</v>
      </c>
      <c r="AH108" s="51" t="e">
        <f t="shared" si="27"/>
        <v>#N/A</v>
      </c>
      <c r="AI108" s="51"/>
      <c r="AJ108" s="51"/>
      <c r="AK108" s="51" t="s">
        <v>143</v>
      </c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</row>
    <row r="109" spans="1:63" ht="30" customHeight="1">
      <c r="A109" s="45">
        <v>108</v>
      </c>
      <c r="B109" s="46" t="s">
        <v>45</v>
      </c>
      <c r="C109" s="45">
        <f t="shared" si="15"/>
        <v>2021</v>
      </c>
      <c r="D109" s="47">
        <v>44204</v>
      </c>
      <c r="E109" s="46" t="s">
        <v>303</v>
      </c>
      <c r="F109" s="45" t="s">
        <v>37</v>
      </c>
      <c r="G109" s="45" t="s">
        <v>88</v>
      </c>
      <c r="H109" s="45">
        <v>81</v>
      </c>
      <c r="I109" s="45">
        <v>63</v>
      </c>
      <c r="J109" s="45"/>
      <c r="K109" s="45" t="str">
        <f>IF(H109=I109,"完结",IF(H109&gt;I109,"下载中"))</f>
        <v>下载中</v>
      </c>
      <c r="L109" s="45">
        <v>63</v>
      </c>
      <c r="M109" s="45">
        <v>27</v>
      </c>
      <c r="N109" s="45"/>
      <c r="O109" s="45" t="str">
        <f t="shared" si="23"/>
        <v>未</v>
      </c>
      <c r="P109" s="45"/>
      <c r="Q109" s="45"/>
      <c r="R109" s="45"/>
      <c r="S109" s="45"/>
      <c r="T109" s="45"/>
      <c r="U109" s="58"/>
      <c r="V109" s="45"/>
      <c r="W109" s="45"/>
      <c r="X109" s="45"/>
      <c r="Y109" s="45"/>
      <c r="Z109" s="45"/>
      <c r="AA109" s="45"/>
      <c r="AB109" s="45"/>
      <c r="AC109" s="45"/>
      <c r="AD109" s="45"/>
      <c r="AE109" s="45" t="e">
        <f t="shared" si="24"/>
        <v>#N/A</v>
      </c>
      <c r="AF109" s="45" t="e">
        <f t="shared" si="25"/>
        <v>#N/A</v>
      </c>
      <c r="AG109" s="45" t="e">
        <f t="shared" si="26"/>
        <v>#N/A</v>
      </c>
      <c r="AH109" s="45" t="e">
        <f t="shared" si="27"/>
        <v>#N/A</v>
      </c>
      <c r="AI109" s="45"/>
      <c r="AJ109" s="45"/>
      <c r="AK109" s="45" t="s">
        <v>52</v>
      </c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</row>
    <row r="110" spans="1:63" ht="30" customHeight="1">
      <c r="A110" s="51">
        <v>109</v>
      </c>
      <c r="B110" s="52" t="s">
        <v>130</v>
      </c>
      <c r="C110" s="51">
        <f t="shared" si="15"/>
        <v>2021</v>
      </c>
      <c r="D110" s="53">
        <v>44209</v>
      </c>
      <c r="E110" s="52" t="s">
        <v>304</v>
      </c>
      <c r="F110" s="51" t="s">
        <v>37</v>
      </c>
      <c r="G110" s="51" t="s">
        <v>55</v>
      </c>
      <c r="H110" s="51">
        <v>7</v>
      </c>
      <c r="I110" s="51">
        <v>7</v>
      </c>
      <c r="J110" s="51"/>
      <c r="K110" s="51" t="str">
        <f>IF(H110=I110,"完结",IF(H110&gt;I110,"未完结"))</f>
        <v>完结</v>
      </c>
      <c r="L110" s="51">
        <v>7</v>
      </c>
      <c r="M110" s="51"/>
      <c r="N110" s="51"/>
      <c r="O110" s="51" t="str">
        <f t="shared" si="23"/>
        <v>完</v>
      </c>
      <c r="P110" s="51"/>
      <c r="Q110" s="51"/>
      <c r="R110" s="51"/>
      <c r="S110" s="51"/>
      <c r="T110" s="51"/>
      <c r="U110" s="59"/>
      <c r="V110" s="51"/>
      <c r="W110" s="51"/>
      <c r="X110" s="51"/>
      <c r="Y110" s="51"/>
      <c r="Z110" s="51"/>
      <c r="AA110" s="51"/>
      <c r="AB110" s="51"/>
      <c r="AC110" s="51"/>
      <c r="AD110" s="51"/>
      <c r="AE110" s="51" t="e">
        <f t="shared" si="24"/>
        <v>#N/A</v>
      </c>
      <c r="AF110" s="51" t="e">
        <f t="shared" si="25"/>
        <v>#N/A</v>
      </c>
      <c r="AG110" s="51" t="e">
        <f t="shared" si="26"/>
        <v>#N/A</v>
      </c>
      <c r="AH110" s="51" t="e">
        <f t="shared" si="27"/>
        <v>#N/A</v>
      </c>
      <c r="AI110" s="51"/>
      <c r="AJ110" s="51"/>
      <c r="AK110" s="51" t="s">
        <v>276</v>
      </c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</row>
    <row r="111" spans="1:63" ht="30" customHeight="1">
      <c r="A111" s="48">
        <v>110</v>
      </c>
      <c r="B111" s="49" t="s">
        <v>130</v>
      </c>
      <c r="C111" s="48">
        <f t="shared" si="15"/>
        <v>2021</v>
      </c>
      <c r="D111" s="50">
        <v>44216</v>
      </c>
      <c r="E111" s="49" t="s">
        <v>305</v>
      </c>
      <c r="F111" s="48" t="s">
        <v>37</v>
      </c>
      <c r="G111" s="48" t="s">
        <v>55</v>
      </c>
      <c r="H111" s="48">
        <v>5</v>
      </c>
      <c r="I111" s="48">
        <v>5</v>
      </c>
      <c r="J111" s="48"/>
      <c r="K111" s="48" t="str">
        <f>IF(H111=I111,"完结",IF(H111&gt;I111,"未完结"))</f>
        <v>完结</v>
      </c>
      <c r="L111" s="48">
        <v>4</v>
      </c>
      <c r="M111" s="48"/>
      <c r="N111" s="48"/>
      <c r="O111" s="48" t="str">
        <f t="shared" si="23"/>
        <v>未</v>
      </c>
      <c r="P111" s="48"/>
      <c r="Q111" s="48"/>
      <c r="R111" s="48"/>
      <c r="S111" s="48"/>
      <c r="T111" s="48"/>
      <c r="U111" s="59"/>
      <c r="V111" s="48"/>
      <c r="W111" s="48"/>
      <c r="X111" s="48"/>
      <c r="Y111" s="48"/>
      <c r="Z111" s="48"/>
      <c r="AA111" s="48"/>
      <c r="AB111" s="48"/>
      <c r="AC111" s="48"/>
      <c r="AD111" s="48"/>
      <c r="AE111" s="48" t="e">
        <f t="shared" si="24"/>
        <v>#N/A</v>
      </c>
      <c r="AF111" s="48" t="e">
        <f t="shared" si="25"/>
        <v>#N/A</v>
      </c>
      <c r="AG111" s="48" t="e">
        <f t="shared" si="26"/>
        <v>#N/A</v>
      </c>
      <c r="AH111" s="48" t="e">
        <f t="shared" si="27"/>
        <v>#N/A</v>
      </c>
      <c r="AI111" s="48"/>
      <c r="AJ111" s="48"/>
      <c r="AK111" s="48" t="s">
        <v>276</v>
      </c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</row>
    <row r="112" spans="1:63" ht="30" customHeight="1">
      <c r="A112" s="51">
        <v>111</v>
      </c>
      <c r="B112" s="52" t="s">
        <v>170</v>
      </c>
      <c r="C112" s="51">
        <f t="shared" si="15"/>
        <v>2021</v>
      </c>
      <c r="D112" s="53">
        <v>44221</v>
      </c>
      <c r="E112" s="52" t="s">
        <v>306</v>
      </c>
      <c r="F112" s="51" t="s">
        <v>107</v>
      </c>
      <c r="G112" s="51" t="s">
        <v>55</v>
      </c>
      <c r="H112" s="51">
        <v>2</v>
      </c>
      <c r="I112" s="51">
        <v>2</v>
      </c>
      <c r="J112" s="51"/>
      <c r="K112" s="51" t="s">
        <v>140</v>
      </c>
      <c r="L112" s="51"/>
      <c r="M112" s="51"/>
      <c r="N112" s="51"/>
      <c r="O112" s="51" t="str">
        <f t="shared" si="23"/>
        <v>未</v>
      </c>
      <c r="P112" s="51"/>
      <c r="Q112" s="51"/>
      <c r="R112" s="51"/>
      <c r="S112" s="51"/>
      <c r="T112" s="51"/>
      <c r="U112" s="59"/>
      <c r="V112" s="51"/>
      <c r="W112" s="51"/>
      <c r="X112" s="51"/>
      <c r="Y112" s="51"/>
      <c r="Z112" s="51"/>
      <c r="AA112" s="51"/>
      <c r="AB112" s="51"/>
      <c r="AC112" s="51"/>
      <c r="AD112" s="51"/>
      <c r="AE112" s="51" t="e">
        <f t="shared" si="24"/>
        <v>#N/A</v>
      </c>
      <c r="AF112" s="51" t="e">
        <f t="shared" si="25"/>
        <v>#N/A</v>
      </c>
      <c r="AG112" s="51" t="e">
        <f t="shared" si="26"/>
        <v>#N/A</v>
      </c>
      <c r="AH112" s="51" t="e">
        <f t="shared" si="27"/>
        <v>#N/A</v>
      </c>
      <c r="AI112" s="51"/>
      <c r="AJ112" s="51"/>
      <c r="AK112" s="51" t="s">
        <v>143</v>
      </c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</row>
    <row r="113" spans="1:63" ht="30" customHeight="1">
      <c r="A113" s="54">
        <v>112</v>
      </c>
      <c r="B113" s="42" t="s">
        <v>61</v>
      </c>
      <c r="C113" s="54">
        <f t="shared" si="15"/>
        <v>2021</v>
      </c>
      <c r="D113" s="55">
        <v>44222</v>
      </c>
      <c r="E113" s="42" t="s">
        <v>307</v>
      </c>
      <c r="F113" s="54" t="s">
        <v>37</v>
      </c>
      <c r="G113" s="54" t="s">
        <v>47</v>
      </c>
      <c r="H113" s="54">
        <v>10</v>
      </c>
      <c r="I113" s="54">
        <v>10</v>
      </c>
      <c r="J113" s="54"/>
      <c r="K113" s="54" t="str">
        <f t="shared" ref="K113:K118" si="28">IF(H113=I113,"完结",IF(H113&gt;I113,"未完结"))</f>
        <v>完结</v>
      </c>
      <c r="L113" s="54">
        <v>10</v>
      </c>
      <c r="M113" s="54"/>
      <c r="N113" s="54"/>
      <c r="O113" s="54" t="str">
        <f t="shared" si="23"/>
        <v>完</v>
      </c>
      <c r="P113" s="54"/>
      <c r="Q113" s="54"/>
      <c r="R113" s="54"/>
      <c r="S113" s="54"/>
      <c r="T113" s="54"/>
      <c r="U113" s="59"/>
      <c r="V113" s="54"/>
      <c r="W113" s="54"/>
      <c r="X113" s="54"/>
      <c r="Y113" s="54"/>
      <c r="Z113" s="54"/>
      <c r="AA113" s="54"/>
      <c r="AB113" s="54"/>
      <c r="AC113" s="54"/>
      <c r="AD113" s="54"/>
      <c r="AE113" s="54" t="e">
        <f t="shared" si="24"/>
        <v>#N/A</v>
      </c>
      <c r="AF113" s="54" t="e">
        <f t="shared" si="25"/>
        <v>#N/A</v>
      </c>
      <c r="AG113" s="54" t="e">
        <f t="shared" si="26"/>
        <v>#N/A</v>
      </c>
      <c r="AH113" s="54" t="e">
        <f t="shared" si="27"/>
        <v>#N/A</v>
      </c>
      <c r="AI113" s="54"/>
      <c r="AJ113" s="54"/>
      <c r="AK113" s="54" t="s">
        <v>276</v>
      </c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</row>
    <row r="114" spans="1:63" ht="30" customHeight="1">
      <c r="A114" s="51">
        <v>113</v>
      </c>
      <c r="B114" s="52" t="s">
        <v>130</v>
      </c>
      <c r="C114" s="51">
        <f t="shared" si="15"/>
        <v>2021</v>
      </c>
      <c r="D114" s="53">
        <v>44234</v>
      </c>
      <c r="E114" s="52" t="s">
        <v>308</v>
      </c>
      <c r="F114" s="51" t="s">
        <v>48</v>
      </c>
      <c r="G114" s="51" t="s">
        <v>47</v>
      </c>
      <c r="H114" s="51">
        <v>4</v>
      </c>
      <c r="I114" s="51">
        <v>4</v>
      </c>
      <c r="J114" s="51"/>
      <c r="K114" s="51" t="str">
        <f t="shared" si="28"/>
        <v>完结</v>
      </c>
      <c r="L114" s="51">
        <v>4</v>
      </c>
      <c r="M114" s="51"/>
      <c r="N114" s="51"/>
      <c r="O114" s="51" t="str">
        <f t="shared" si="23"/>
        <v>完</v>
      </c>
      <c r="P114" s="51"/>
      <c r="Q114" s="51"/>
      <c r="R114" s="51"/>
      <c r="S114" s="51"/>
      <c r="T114" s="51"/>
      <c r="U114" s="59"/>
      <c r="V114" s="51"/>
      <c r="W114" s="51"/>
      <c r="X114" s="51"/>
      <c r="Y114" s="51"/>
      <c r="Z114" s="51"/>
      <c r="AA114" s="51"/>
      <c r="AB114" s="51"/>
      <c r="AC114" s="51"/>
      <c r="AD114" s="51"/>
      <c r="AE114" s="51" t="e">
        <f t="shared" si="24"/>
        <v>#N/A</v>
      </c>
      <c r="AF114" s="51" t="e">
        <f t="shared" si="25"/>
        <v>#N/A</v>
      </c>
      <c r="AG114" s="51" t="e">
        <f t="shared" si="26"/>
        <v>#N/A</v>
      </c>
      <c r="AH114" s="51" t="e">
        <f t="shared" si="27"/>
        <v>#N/A</v>
      </c>
      <c r="AI114" s="51"/>
      <c r="AJ114" s="51"/>
      <c r="AK114" s="51" t="s">
        <v>276</v>
      </c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</row>
    <row r="115" spans="1:63" ht="30" customHeight="1">
      <c r="A115" s="45">
        <v>114</v>
      </c>
      <c r="B115" s="46" t="s">
        <v>158</v>
      </c>
      <c r="C115" s="45">
        <f t="shared" si="15"/>
        <v>2021</v>
      </c>
      <c r="D115" s="47">
        <v>44244</v>
      </c>
      <c r="E115" s="46" t="s">
        <v>309</v>
      </c>
      <c r="F115" s="45" t="s">
        <v>37</v>
      </c>
      <c r="G115" s="45" t="s">
        <v>96</v>
      </c>
      <c r="H115" s="45">
        <v>24</v>
      </c>
      <c r="I115" s="45">
        <v>24</v>
      </c>
      <c r="J115" s="45"/>
      <c r="K115" s="45" t="str">
        <f t="shared" si="28"/>
        <v>完结</v>
      </c>
      <c r="L115" s="45">
        <v>22</v>
      </c>
      <c r="M115" s="45"/>
      <c r="N115" s="45"/>
      <c r="O115" s="45" t="str">
        <f t="shared" si="23"/>
        <v>未</v>
      </c>
      <c r="P115" s="45"/>
      <c r="Q115" s="45"/>
      <c r="R115" s="45"/>
      <c r="S115" s="45"/>
      <c r="T115" s="45"/>
      <c r="U115" s="58"/>
      <c r="V115" s="45"/>
      <c r="W115" s="45"/>
      <c r="X115" s="45"/>
      <c r="Y115" s="45"/>
      <c r="Z115" s="45"/>
      <c r="AA115" s="45"/>
      <c r="AB115" s="45"/>
      <c r="AC115" s="45"/>
      <c r="AD115" s="45"/>
      <c r="AE115" s="45" t="e">
        <f t="shared" si="24"/>
        <v>#N/A</v>
      </c>
      <c r="AF115" s="45" t="e">
        <f t="shared" si="25"/>
        <v>#N/A</v>
      </c>
      <c r="AG115" s="45" t="e">
        <f t="shared" si="26"/>
        <v>#N/A</v>
      </c>
      <c r="AH115" s="45" t="e">
        <f t="shared" si="27"/>
        <v>#N/A</v>
      </c>
      <c r="AI115" s="45"/>
      <c r="AJ115" s="45"/>
      <c r="AK115" s="45" t="s">
        <v>310</v>
      </c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</row>
    <row r="116" spans="1:63" ht="30" customHeight="1">
      <c r="A116" s="51">
        <v>115</v>
      </c>
      <c r="B116" s="52" t="s">
        <v>61</v>
      </c>
      <c r="C116" s="51">
        <f t="shared" si="15"/>
        <v>2021</v>
      </c>
      <c r="D116" s="53">
        <v>44246</v>
      </c>
      <c r="E116" s="52" t="s">
        <v>311</v>
      </c>
      <c r="F116" s="51" t="s">
        <v>48</v>
      </c>
      <c r="G116" s="51" t="s">
        <v>47</v>
      </c>
      <c r="H116" s="51">
        <v>12</v>
      </c>
      <c r="I116" s="51">
        <v>9</v>
      </c>
      <c r="J116" s="51"/>
      <c r="K116" s="51" t="str">
        <f>IF(H116=I116,"完结",IF(H116&gt;I116,"下载中"))</f>
        <v>下载中</v>
      </c>
      <c r="L116" s="51">
        <v>9</v>
      </c>
      <c r="M116" s="51"/>
      <c r="N116" s="51"/>
      <c r="O116" s="51" t="str">
        <f t="shared" si="23"/>
        <v>未</v>
      </c>
      <c r="P116" s="51"/>
      <c r="Q116" s="51"/>
      <c r="R116" s="51"/>
      <c r="S116" s="51"/>
      <c r="T116" s="51"/>
      <c r="U116" s="59"/>
      <c r="V116" s="51"/>
      <c r="W116" s="51"/>
      <c r="X116" s="51"/>
      <c r="Y116" s="51"/>
      <c r="Z116" s="51"/>
      <c r="AA116" s="51"/>
      <c r="AB116" s="51"/>
      <c r="AC116" s="51"/>
      <c r="AD116" s="51"/>
      <c r="AE116" s="51" t="e">
        <f t="shared" si="24"/>
        <v>#N/A</v>
      </c>
      <c r="AF116" s="51" t="e">
        <f t="shared" si="25"/>
        <v>#N/A</v>
      </c>
      <c r="AG116" s="51" t="e">
        <f t="shared" si="26"/>
        <v>#N/A</v>
      </c>
      <c r="AH116" s="51" t="e">
        <f t="shared" si="27"/>
        <v>#N/A</v>
      </c>
      <c r="AI116" s="51"/>
      <c r="AJ116" s="51"/>
      <c r="AK116" s="51" t="s">
        <v>276</v>
      </c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</row>
    <row r="117" spans="1:63" ht="30" customHeight="1">
      <c r="A117" s="48">
        <v>116</v>
      </c>
      <c r="B117" s="49" t="s">
        <v>135</v>
      </c>
      <c r="C117" s="48">
        <f t="shared" si="15"/>
        <v>2021</v>
      </c>
      <c r="D117" s="50">
        <v>44246</v>
      </c>
      <c r="E117" s="49" t="s">
        <v>312</v>
      </c>
      <c r="F117" s="48" t="s">
        <v>48</v>
      </c>
      <c r="G117" s="48" t="s">
        <v>88</v>
      </c>
      <c r="H117" s="48">
        <v>1</v>
      </c>
      <c r="I117" s="48">
        <v>1</v>
      </c>
      <c r="J117" s="48"/>
      <c r="K117" s="48" t="str">
        <f t="shared" si="28"/>
        <v>完结</v>
      </c>
      <c r="L117" s="48">
        <v>1</v>
      </c>
      <c r="M117" s="48"/>
      <c r="N117" s="48"/>
      <c r="O117" s="48" t="str">
        <f t="shared" si="23"/>
        <v>完</v>
      </c>
      <c r="P117" s="48"/>
      <c r="Q117" s="48"/>
      <c r="R117" s="48"/>
      <c r="S117" s="48"/>
      <c r="T117" s="48"/>
      <c r="U117" s="59"/>
      <c r="V117" s="48"/>
      <c r="W117" s="48"/>
      <c r="X117" s="48"/>
      <c r="Y117" s="48"/>
      <c r="Z117" s="48"/>
      <c r="AA117" s="48"/>
      <c r="AB117" s="48"/>
      <c r="AC117" s="48"/>
      <c r="AD117" s="48"/>
      <c r="AE117" s="48" t="e">
        <f t="shared" si="24"/>
        <v>#N/A</v>
      </c>
      <c r="AF117" s="48" t="e">
        <f t="shared" si="25"/>
        <v>#N/A</v>
      </c>
      <c r="AG117" s="48" t="e">
        <f t="shared" si="26"/>
        <v>#N/A</v>
      </c>
      <c r="AH117" s="48" t="e">
        <f t="shared" si="27"/>
        <v>#N/A</v>
      </c>
      <c r="AI117" s="48"/>
      <c r="AJ117" s="48"/>
      <c r="AK117" s="48" t="s">
        <v>276</v>
      </c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</row>
    <row r="118" spans="1:63" ht="30" customHeight="1">
      <c r="A118" s="51">
        <v>117</v>
      </c>
      <c r="B118" s="52" t="s">
        <v>110</v>
      </c>
      <c r="C118" s="51">
        <f t="shared" si="15"/>
        <v>2021</v>
      </c>
      <c r="D118" s="53">
        <v>44247</v>
      </c>
      <c r="E118" s="52" t="s">
        <v>313</v>
      </c>
      <c r="F118" s="51" t="s">
        <v>48</v>
      </c>
      <c r="G118" s="51" t="s">
        <v>88</v>
      </c>
      <c r="H118" s="51">
        <v>7</v>
      </c>
      <c r="I118" s="51">
        <v>7</v>
      </c>
      <c r="J118" s="51"/>
      <c r="K118" s="51" t="str">
        <f t="shared" si="28"/>
        <v>完结</v>
      </c>
      <c r="L118" s="51">
        <v>7</v>
      </c>
      <c r="M118" s="51"/>
      <c r="N118" s="51"/>
      <c r="O118" s="51" t="str">
        <f t="shared" si="23"/>
        <v>完</v>
      </c>
      <c r="P118" s="51"/>
      <c r="Q118" s="51"/>
      <c r="R118" s="51"/>
      <c r="S118" s="51"/>
      <c r="T118" s="51"/>
      <c r="U118" s="59"/>
      <c r="V118" s="51"/>
      <c r="W118" s="51"/>
      <c r="X118" s="51"/>
      <c r="Y118" s="51"/>
      <c r="Z118" s="51"/>
      <c r="AA118" s="51"/>
      <c r="AB118" s="51"/>
      <c r="AC118" s="51"/>
      <c r="AD118" s="51"/>
      <c r="AE118" s="51" t="e">
        <f t="shared" si="24"/>
        <v>#N/A</v>
      </c>
      <c r="AF118" s="51" t="e">
        <f t="shared" si="25"/>
        <v>#N/A</v>
      </c>
      <c r="AG118" s="51" t="e">
        <f t="shared" si="26"/>
        <v>#N/A</v>
      </c>
      <c r="AH118" s="51" t="e">
        <f t="shared" si="27"/>
        <v>#N/A</v>
      </c>
      <c r="AI118" s="51"/>
      <c r="AJ118" s="51"/>
      <c r="AK118" s="51" t="s">
        <v>44</v>
      </c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</row>
    <row r="119" spans="1:63" ht="30" customHeight="1">
      <c r="A119" s="54">
        <v>118</v>
      </c>
      <c r="B119" s="42" t="s">
        <v>135</v>
      </c>
      <c r="C119" s="54">
        <f t="shared" si="15"/>
        <v>2021</v>
      </c>
      <c r="D119" s="55">
        <v>44247</v>
      </c>
      <c r="E119" s="42" t="s">
        <v>314</v>
      </c>
      <c r="F119" s="54" t="s">
        <v>48</v>
      </c>
      <c r="G119" s="54" t="s">
        <v>63</v>
      </c>
      <c r="H119" s="54">
        <v>12</v>
      </c>
      <c r="I119" s="54">
        <v>5</v>
      </c>
      <c r="J119" s="54"/>
      <c r="K119" s="54" t="str">
        <f>IF(H119=I119,"完结",IF(H119&gt;I119,"下载中"))</f>
        <v>下载中</v>
      </c>
      <c r="L119" s="54">
        <v>0</v>
      </c>
      <c r="M119" s="54"/>
      <c r="N119" s="54"/>
      <c r="O119" s="54" t="str">
        <f t="shared" si="23"/>
        <v>未</v>
      </c>
      <c r="P119" s="54"/>
      <c r="Q119" s="54"/>
      <c r="R119" s="54"/>
      <c r="S119" s="54"/>
      <c r="T119" s="54"/>
      <c r="U119" s="59"/>
      <c r="V119" s="54"/>
      <c r="W119" s="54"/>
      <c r="X119" s="54"/>
      <c r="Y119" s="54"/>
      <c r="Z119" s="54"/>
      <c r="AA119" s="54"/>
      <c r="AB119" s="54"/>
      <c r="AC119" s="54"/>
      <c r="AD119" s="54"/>
      <c r="AE119" s="54" t="e">
        <f t="shared" si="24"/>
        <v>#N/A</v>
      </c>
      <c r="AF119" s="54" t="e">
        <f t="shared" si="25"/>
        <v>#N/A</v>
      </c>
      <c r="AG119" s="54" t="e">
        <f t="shared" si="26"/>
        <v>#N/A</v>
      </c>
      <c r="AH119" s="54" t="e">
        <f t="shared" si="27"/>
        <v>#N/A</v>
      </c>
      <c r="AI119" s="54"/>
      <c r="AJ119" s="54"/>
      <c r="AK119" s="54" t="s">
        <v>276</v>
      </c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</row>
    <row r="120" spans="1:63" ht="30" customHeight="1">
      <c r="A120" s="51">
        <v>119</v>
      </c>
      <c r="B120" s="52" t="s">
        <v>151</v>
      </c>
      <c r="C120" s="51">
        <f t="shared" si="15"/>
        <v>2021</v>
      </c>
      <c r="D120" s="53">
        <v>44256</v>
      </c>
      <c r="E120" s="52" t="s">
        <v>315</v>
      </c>
      <c r="F120" s="51" t="s">
        <v>37</v>
      </c>
      <c r="G120" s="51" t="s">
        <v>72</v>
      </c>
      <c r="H120" s="51">
        <v>5</v>
      </c>
      <c r="I120" s="51">
        <v>2</v>
      </c>
      <c r="J120" s="51"/>
      <c r="K120" s="51" t="s">
        <v>140</v>
      </c>
      <c r="L120" s="51">
        <v>0</v>
      </c>
      <c r="M120" s="51"/>
      <c r="N120" s="51"/>
      <c r="O120" s="51" t="str">
        <f t="shared" si="23"/>
        <v>未</v>
      </c>
      <c r="P120" s="51"/>
      <c r="Q120" s="51"/>
      <c r="R120" s="51"/>
      <c r="S120" s="51"/>
      <c r="T120" s="51"/>
      <c r="U120" s="59"/>
      <c r="V120" s="51"/>
      <c r="W120" s="51"/>
      <c r="X120" s="51"/>
      <c r="Y120" s="51"/>
      <c r="Z120" s="51"/>
      <c r="AA120" s="51"/>
      <c r="AB120" s="51"/>
      <c r="AC120" s="51"/>
      <c r="AD120" s="51"/>
      <c r="AE120" s="51" t="e">
        <f t="shared" si="24"/>
        <v>#N/A</v>
      </c>
      <c r="AF120" s="51" t="e">
        <f t="shared" si="25"/>
        <v>#N/A</v>
      </c>
      <c r="AG120" s="51" t="e">
        <f t="shared" si="26"/>
        <v>#N/A</v>
      </c>
      <c r="AH120" s="51" t="e">
        <f t="shared" si="27"/>
        <v>#N/A</v>
      </c>
      <c r="AI120" s="51"/>
      <c r="AJ120" s="51"/>
      <c r="AK120" s="51" t="s">
        <v>176</v>
      </c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</row>
    <row r="121" spans="1:63" ht="30" customHeight="1">
      <c r="A121" s="45">
        <v>120</v>
      </c>
      <c r="B121" s="46" t="s">
        <v>124</v>
      </c>
      <c r="C121" s="45">
        <f t="shared" si="15"/>
        <v>2021</v>
      </c>
      <c r="D121" s="47">
        <v>44258</v>
      </c>
      <c r="E121" s="46" t="s">
        <v>316</v>
      </c>
      <c r="F121" s="45" t="s">
        <v>107</v>
      </c>
      <c r="G121" s="45" t="s">
        <v>47</v>
      </c>
      <c r="H121" s="45">
        <v>4</v>
      </c>
      <c r="I121" s="45">
        <v>1</v>
      </c>
      <c r="J121" s="45"/>
      <c r="K121" s="45" t="s">
        <v>140</v>
      </c>
      <c r="L121" s="45"/>
      <c r="M121" s="45"/>
      <c r="N121" s="45"/>
      <c r="O121" s="45" t="str">
        <f t="shared" si="23"/>
        <v>未</v>
      </c>
      <c r="P121" s="45"/>
      <c r="Q121" s="45"/>
      <c r="R121" s="45"/>
      <c r="S121" s="45"/>
      <c r="T121" s="45"/>
      <c r="U121" s="58"/>
      <c r="V121" s="45"/>
      <c r="W121" s="45"/>
      <c r="X121" s="45"/>
      <c r="Y121" s="45"/>
      <c r="Z121" s="45"/>
      <c r="AA121" s="45"/>
      <c r="AB121" s="45"/>
      <c r="AC121" s="45"/>
      <c r="AD121" s="45"/>
      <c r="AE121" s="45" t="e">
        <f t="shared" si="24"/>
        <v>#N/A</v>
      </c>
      <c r="AF121" s="45" t="e">
        <f t="shared" si="25"/>
        <v>#N/A</v>
      </c>
      <c r="AG121" s="45" t="e">
        <f t="shared" si="26"/>
        <v>#N/A</v>
      </c>
      <c r="AH121" s="45" t="e">
        <f t="shared" si="27"/>
        <v>#N/A</v>
      </c>
      <c r="AI121" s="45"/>
      <c r="AJ121" s="45"/>
      <c r="AK121" s="45" t="s">
        <v>143</v>
      </c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</row>
    <row r="122" spans="1:63" ht="30" customHeight="1">
      <c r="A122" s="51">
        <v>121</v>
      </c>
      <c r="B122" s="52" t="s">
        <v>61</v>
      </c>
      <c r="C122" s="51">
        <f t="shared" si="15"/>
        <v>2021</v>
      </c>
      <c r="D122" s="53">
        <v>44261</v>
      </c>
      <c r="E122" s="52" t="s">
        <v>317</v>
      </c>
      <c r="F122" s="51" t="s">
        <v>37</v>
      </c>
      <c r="G122" s="51" t="s">
        <v>72</v>
      </c>
      <c r="H122" s="51">
        <v>4</v>
      </c>
      <c r="I122" s="51">
        <v>4</v>
      </c>
      <c r="J122" s="51"/>
      <c r="K122" s="51" t="str">
        <f t="shared" ref="K122:K131" si="29">IF(H122=I122,"完结",IF(H122&gt;I122,"未完结"))</f>
        <v>完结</v>
      </c>
      <c r="L122" s="51">
        <v>4</v>
      </c>
      <c r="M122" s="51"/>
      <c r="N122" s="51"/>
      <c r="O122" s="51" t="str">
        <f t="shared" si="23"/>
        <v>完</v>
      </c>
      <c r="P122" s="51"/>
      <c r="Q122" s="51"/>
      <c r="R122" s="51"/>
      <c r="S122" s="51"/>
      <c r="T122" s="51"/>
      <c r="U122" s="59"/>
      <c r="V122" s="51"/>
      <c r="W122" s="51"/>
      <c r="X122" s="51"/>
      <c r="Y122" s="51"/>
      <c r="Z122" s="51"/>
      <c r="AA122" s="51"/>
      <c r="AB122" s="51"/>
      <c r="AC122" s="51"/>
      <c r="AD122" s="51"/>
      <c r="AE122" s="51" t="e">
        <f t="shared" si="24"/>
        <v>#N/A</v>
      </c>
      <c r="AF122" s="51" t="e">
        <f t="shared" si="25"/>
        <v>#N/A</v>
      </c>
      <c r="AG122" s="51" t="e">
        <f t="shared" si="26"/>
        <v>#N/A</v>
      </c>
      <c r="AH122" s="51" t="e">
        <f t="shared" si="27"/>
        <v>#N/A</v>
      </c>
      <c r="AI122" s="51"/>
      <c r="AJ122" s="51"/>
      <c r="AK122" s="51" t="s">
        <v>191</v>
      </c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</row>
    <row r="123" spans="1:63" ht="30" customHeight="1">
      <c r="A123" s="48">
        <v>122</v>
      </c>
      <c r="B123" s="49" t="s">
        <v>35</v>
      </c>
      <c r="C123" s="48">
        <f t="shared" si="15"/>
        <v>2021</v>
      </c>
      <c r="D123" s="50">
        <v>44261</v>
      </c>
      <c r="E123" s="49" t="s">
        <v>318</v>
      </c>
      <c r="F123" s="48" t="s">
        <v>37</v>
      </c>
      <c r="G123" s="48" t="s">
        <v>88</v>
      </c>
      <c r="H123" s="48">
        <v>5</v>
      </c>
      <c r="I123" s="48">
        <v>5</v>
      </c>
      <c r="J123" s="48"/>
      <c r="K123" s="48" t="str">
        <f t="shared" si="29"/>
        <v>完结</v>
      </c>
      <c r="L123" s="48">
        <v>5</v>
      </c>
      <c r="M123" s="48"/>
      <c r="N123" s="48"/>
      <c r="O123" s="48" t="str">
        <f t="shared" si="23"/>
        <v>完</v>
      </c>
      <c r="P123" s="48"/>
      <c r="Q123" s="48"/>
      <c r="R123" s="48"/>
      <c r="S123" s="48"/>
      <c r="T123" s="48"/>
      <c r="U123" s="59"/>
      <c r="V123" s="48"/>
      <c r="W123" s="48"/>
      <c r="X123" s="48"/>
      <c r="Y123" s="48"/>
      <c r="Z123" s="48"/>
      <c r="AA123" s="48"/>
      <c r="AB123" s="48"/>
      <c r="AC123" s="48"/>
      <c r="AD123" s="48"/>
      <c r="AE123" s="48" t="e">
        <f t="shared" si="24"/>
        <v>#N/A</v>
      </c>
      <c r="AF123" s="48" t="e">
        <f t="shared" si="25"/>
        <v>#N/A</v>
      </c>
      <c r="AG123" s="48" t="e">
        <f t="shared" si="26"/>
        <v>#N/A</v>
      </c>
      <c r="AH123" s="48" t="e">
        <f t="shared" si="27"/>
        <v>#N/A</v>
      </c>
      <c r="AI123" s="48"/>
      <c r="AJ123" s="48"/>
      <c r="AK123" s="48" t="s">
        <v>44</v>
      </c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</row>
    <row r="124" spans="1:63" ht="30" customHeight="1">
      <c r="A124" s="51">
        <v>123</v>
      </c>
      <c r="B124" s="52" t="s">
        <v>35</v>
      </c>
      <c r="C124" s="51">
        <f t="shared" si="15"/>
        <v>2021</v>
      </c>
      <c r="D124" s="53">
        <v>44264</v>
      </c>
      <c r="E124" s="52" t="s">
        <v>319</v>
      </c>
      <c r="F124" s="51" t="s">
        <v>54</v>
      </c>
      <c r="G124" s="51" t="s">
        <v>47</v>
      </c>
      <c r="H124" s="51">
        <v>5</v>
      </c>
      <c r="I124" s="51">
        <v>5</v>
      </c>
      <c r="J124" s="51"/>
      <c r="K124" s="51" t="str">
        <f t="shared" si="29"/>
        <v>完结</v>
      </c>
      <c r="L124" s="51">
        <v>5</v>
      </c>
      <c r="M124" s="51"/>
      <c r="N124" s="51"/>
      <c r="O124" s="51" t="str">
        <f t="shared" si="23"/>
        <v>完</v>
      </c>
      <c r="P124" s="51"/>
      <c r="Q124" s="51"/>
      <c r="R124" s="51"/>
      <c r="S124" s="51"/>
      <c r="T124" s="51"/>
      <c r="U124" s="59"/>
      <c r="V124" s="51"/>
      <c r="W124" s="51"/>
      <c r="X124" s="51"/>
      <c r="Y124" s="51"/>
      <c r="Z124" s="51"/>
      <c r="AA124" s="51"/>
      <c r="AB124" s="51"/>
      <c r="AC124" s="51"/>
      <c r="AD124" s="51"/>
      <c r="AE124" s="51" t="e">
        <f t="shared" si="24"/>
        <v>#N/A</v>
      </c>
      <c r="AF124" s="51" t="e">
        <f t="shared" si="25"/>
        <v>#N/A</v>
      </c>
      <c r="AG124" s="51" t="e">
        <f t="shared" si="26"/>
        <v>#N/A</v>
      </c>
      <c r="AH124" s="51" t="e">
        <f t="shared" si="27"/>
        <v>#N/A</v>
      </c>
      <c r="AI124" s="51"/>
      <c r="AJ124" s="51"/>
      <c r="AK124" s="51" t="s">
        <v>44</v>
      </c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</row>
    <row r="125" spans="1:63" ht="30" customHeight="1">
      <c r="A125" s="54">
        <v>124</v>
      </c>
      <c r="B125" s="42" t="s">
        <v>130</v>
      </c>
      <c r="C125" s="54">
        <f t="shared" si="15"/>
        <v>2021</v>
      </c>
      <c r="D125" s="55">
        <v>44266</v>
      </c>
      <c r="E125" s="42" t="s">
        <v>320</v>
      </c>
      <c r="F125" s="54" t="s">
        <v>37</v>
      </c>
      <c r="G125" s="54" t="s">
        <v>96</v>
      </c>
      <c r="H125" s="54">
        <v>14</v>
      </c>
      <c r="I125" s="54">
        <v>14</v>
      </c>
      <c r="J125" s="54"/>
      <c r="K125" s="54" t="str">
        <f t="shared" si="29"/>
        <v>完结</v>
      </c>
      <c r="L125" s="54">
        <v>1</v>
      </c>
      <c r="M125" s="54"/>
      <c r="N125" s="54"/>
      <c r="O125" s="54" t="str">
        <f t="shared" si="23"/>
        <v>未</v>
      </c>
      <c r="P125" s="54"/>
      <c r="Q125" s="54"/>
      <c r="R125" s="54"/>
      <c r="S125" s="54"/>
      <c r="T125" s="54"/>
      <c r="U125" s="59"/>
      <c r="V125" s="54"/>
      <c r="W125" s="54"/>
      <c r="X125" s="54"/>
      <c r="Y125" s="54"/>
      <c r="Z125" s="54"/>
      <c r="AA125" s="54"/>
      <c r="AB125" s="54"/>
      <c r="AC125" s="54"/>
      <c r="AD125" s="54"/>
      <c r="AE125" s="54" t="e">
        <f t="shared" si="24"/>
        <v>#N/A</v>
      </c>
      <c r="AF125" s="54" t="e">
        <f t="shared" si="25"/>
        <v>#N/A</v>
      </c>
      <c r="AG125" s="54" t="e">
        <f t="shared" si="26"/>
        <v>#N/A</v>
      </c>
      <c r="AH125" s="54" t="e">
        <f t="shared" si="27"/>
        <v>#N/A</v>
      </c>
      <c r="AI125" s="54"/>
      <c r="AJ125" s="54"/>
      <c r="AK125" s="54" t="s">
        <v>321</v>
      </c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</row>
    <row r="126" spans="1:63" ht="30" customHeight="1">
      <c r="A126" s="51">
        <v>125</v>
      </c>
      <c r="B126" s="52" t="s">
        <v>77</v>
      </c>
      <c r="C126" s="51">
        <f t="shared" si="15"/>
        <v>2021</v>
      </c>
      <c r="D126" s="53">
        <v>44271</v>
      </c>
      <c r="E126" s="52" t="s">
        <v>322</v>
      </c>
      <c r="F126" s="51" t="s">
        <v>37</v>
      </c>
      <c r="G126" s="51" t="s">
        <v>72</v>
      </c>
      <c r="H126" s="51">
        <v>6</v>
      </c>
      <c r="I126" s="51">
        <v>6</v>
      </c>
      <c r="J126" s="51"/>
      <c r="K126" s="51" t="str">
        <f t="shared" si="29"/>
        <v>完结</v>
      </c>
      <c r="L126" s="51">
        <v>6</v>
      </c>
      <c r="M126" s="51"/>
      <c r="N126" s="51"/>
      <c r="O126" s="51" t="str">
        <f t="shared" si="23"/>
        <v>完</v>
      </c>
      <c r="P126" s="51"/>
      <c r="Q126" s="51"/>
      <c r="R126" s="51"/>
      <c r="S126" s="51"/>
      <c r="T126" s="51"/>
      <c r="U126" s="59"/>
      <c r="V126" s="51"/>
      <c r="W126" s="51"/>
      <c r="X126" s="51"/>
      <c r="Y126" s="51"/>
      <c r="Z126" s="51"/>
      <c r="AA126" s="51"/>
      <c r="AB126" s="51"/>
      <c r="AC126" s="51"/>
      <c r="AD126" s="51"/>
      <c r="AE126" s="51" t="e">
        <f t="shared" si="24"/>
        <v>#N/A</v>
      </c>
      <c r="AF126" s="51" t="e">
        <f t="shared" si="25"/>
        <v>#N/A</v>
      </c>
      <c r="AG126" s="51" t="e">
        <f t="shared" si="26"/>
        <v>#N/A</v>
      </c>
      <c r="AH126" s="51" t="e">
        <f t="shared" si="27"/>
        <v>#N/A</v>
      </c>
      <c r="AI126" s="51"/>
      <c r="AJ126" s="51"/>
      <c r="AK126" s="51" t="s">
        <v>191</v>
      </c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</row>
    <row r="127" spans="1:63" ht="30" customHeight="1">
      <c r="A127" s="45">
        <v>126</v>
      </c>
      <c r="B127" s="46" t="s">
        <v>61</v>
      </c>
      <c r="C127" s="45">
        <f t="shared" si="15"/>
        <v>2021</v>
      </c>
      <c r="D127" s="47">
        <v>44283</v>
      </c>
      <c r="E127" s="46" t="s">
        <v>323</v>
      </c>
      <c r="F127" s="45" t="s">
        <v>37</v>
      </c>
      <c r="G127" s="45" t="s">
        <v>72</v>
      </c>
      <c r="H127" s="45">
        <v>1</v>
      </c>
      <c r="I127" s="45">
        <v>1</v>
      </c>
      <c r="J127" s="45"/>
      <c r="K127" s="45" t="str">
        <f t="shared" si="29"/>
        <v>完结</v>
      </c>
      <c r="L127" s="45">
        <v>1</v>
      </c>
      <c r="M127" s="45"/>
      <c r="N127" s="45"/>
      <c r="O127" s="45" t="str">
        <f t="shared" si="23"/>
        <v>完</v>
      </c>
      <c r="P127" s="45"/>
      <c r="Q127" s="45"/>
      <c r="R127" s="45"/>
      <c r="S127" s="45"/>
      <c r="T127" s="45"/>
      <c r="U127" s="58"/>
      <c r="V127" s="45"/>
      <c r="W127" s="45"/>
      <c r="X127" s="45"/>
      <c r="Y127" s="45"/>
      <c r="Z127" s="45"/>
      <c r="AA127" s="45"/>
      <c r="AB127" s="45"/>
      <c r="AC127" s="45"/>
      <c r="AD127" s="45"/>
      <c r="AE127" s="45" t="e">
        <f t="shared" si="24"/>
        <v>#N/A</v>
      </c>
      <c r="AF127" s="45" t="e">
        <f t="shared" si="25"/>
        <v>#N/A</v>
      </c>
      <c r="AG127" s="45" t="e">
        <f t="shared" si="26"/>
        <v>#N/A</v>
      </c>
      <c r="AH127" s="45" t="e">
        <f t="shared" si="27"/>
        <v>#N/A</v>
      </c>
      <c r="AI127" s="45"/>
      <c r="AJ127" s="45"/>
      <c r="AK127" s="45" t="s">
        <v>44</v>
      </c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</row>
    <row r="128" spans="1:63" ht="30" customHeight="1">
      <c r="A128" s="51">
        <v>127</v>
      </c>
      <c r="B128" s="52" t="s">
        <v>73</v>
      </c>
      <c r="C128" s="51">
        <f t="shared" si="15"/>
        <v>2021</v>
      </c>
      <c r="D128" s="53">
        <v>44283</v>
      </c>
      <c r="E128" s="52" t="s">
        <v>324</v>
      </c>
      <c r="F128" s="51" t="s">
        <v>37</v>
      </c>
      <c r="G128" s="51" t="s">
        <v>96</v>
      </c>
      <c r="H128" s="51">
        <v>9</v>
      </c>
      <c r="I128" s="51"/>
      <c r="J128" s="51"/>
      <c r="K128" s="51" t="str">
        <f>IF(H128=I128,"完结",IF(H128&gt;I128,"下载中"))</f>
        <v>下载中</v>
      </c>
      <c r="L128" s="51"/>
      <c r="M128" s="51"/>
      <c r="N128" s="51"/>
      <c r="O128" s="51" t="str">
        <f t="shared" si="23"/>
        <v>未</v>
      </c>
      <c r="P128" s="51"/>
      <c r="Q128" s="51"/>
      <c r="R128" s="51"/>
      <c r="S128" s="51"/>
      <c r="T128" s="51"/>
      <c r="U128" s="59"/>
      <c r="V128" s="51"/>
      <c r="W128" s="51"/>
      <c r="X128" s="51"/>
      <c r="Y128" s="51"/>
      <c r="Z128" s="51"/>
      <c r="AA128" s="51"/>
      <c r="AB128" s="51"/>
      <c r="AC128" s="51"/>
      <c r="AD128" s="51"/>
      <c r="AE128" s="51" t="e">
        <f t="shared" si="24"/>
        <v>#N/A</v>
      </c>
      <c r="AF128" s="51" t="e">
        <f t="shared" si="25"/>
        <v>#N/A</v>
      </c>
      <c r="AG128" s="51" t="e">
        <f t="shared" si="26"/>
        <v>#N/A</v>
      </c>
      <c r="AH128" s="51" t="e">
        <f t="shared" si="27"/>
        <v>#N/A</v>
      </c>
      <c r="AI128" s="51"/>
      <c r="AJ128" s="51"/>
      <c r="AK128" s="51" t="s">
        <v>325</v>
      </c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</row>
    <row r="129" spans="1:63" ht="30" customHeight="1">
      <c r="A129" s="48">
        <v>128</v>
      </c>
      <c r="B129" s="49" t="s">
        <v>77</v>
      </c>
      <c r="C129" s="48">
        <f t="shared" si="15"/>
        <v>2021</v>
      </c>
      <c r="D129" s="50">
        <v>44286</v>
      </c>
      <c r="E129" s="49" t="s">
        <v>326</v>
      </c>
      <c r="F129" s="48" t="s">
        <v>37</v>
      </c>
      <c r="G129" s="48" t="s">
        <v>47</v>
      </c>
      <c r="H129" s="48">
        <v>4</v>
      </c>
      <c r="I129" s="48">
        <v>4</v>
      </c>
      <c r="J129" s="48"/>
      <c r="K129" s="48" t="str">
        <f t="shared" si="29"/>
        <v>完结</v>
      </c>
      <c r="L129" s="48">
        <v>4</v>
      </c>
      <c r="M129" s="48"/>
      <c r="N129" s="48"/>
      <c r="O129" s="48" t="str">
        <f t="shared" si="23"/>
        <v>完</v>
      </c>
      <c r="P129" s="48"/>
      <c r="Q129" s="48"/>
      <c r="R129" s="48"/>
      <c r="S129" s="48"/>
      <c r="T129" s="48"/>
      <c r="U129" s="59"/>
      <c r="V129" s="48"/>
      <c r="W129" s="48"/>
      <c r="X129" s="48"/>
      <c r="Y129" s="48"/>
      <c r="Z129" s="48"/>
      <c r="AA129" s="48"/>
      <c r="AB129" s="48"/>
      <c r="AC129" s="48"/>
      <c r="AD129" s="48"/>
      <c r="AE129" s="48" t="e">
        <f t="shared" si="24"/>
        <v>#N/A</v>
      </c>
      <c r="AF129" s="48" t="e">
        <f t="shared" si="25"/>
        <v>#N/A</v>
      </c>
      <c r="AG129" s="48" t="e">
        <f t="shared" si="26"/>
        <v>#N/A</v>
      </c>
      <c r="AH129" s="48" t="e">
        <f t="shared" si="27"/>
        <v>#N/A</v>
      </c>
      <c r="AI129" s="48"/>
      <c r="AJ129" s="48"/>
      <c r="AK129" s="48" t="s">
        <v>191</v>
      </c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</row>
    <row r="130" spans="1:63" ht="30" customHeight="1">
      <c r="A130" s="51">
        <v>129</v>
      </c>
      <c r="B130" s="52" t="s">
        <v>82</v>
      </c>
      <c r="C130" s="51">
        <f t="shared" ref="C130:C193" si="30">YEAR(D130)</f>
        <v>2021</v>
      </c>
      <c r="D130" s="53">
        <v>44307</v>
      </c>
      <c r="E130" s="52" t="s">
        <v>327</v>
      </c>
      <c r="F130" s="51" t="s">
        <v>37</v>
      </c>
      <c r="G130" s="51" t="s">
        <v>96</v>
      </c>
      <c r="H130" s="51">
        <v>12</v>
      </c>
      <c r="I130" s="51">
        <v>12</v>
      </c>
      <c r="J130" s="51"/>
      <c r="K130" s="51" t="str">
        <f t="shared" si="29"/>
        <v>完结</v>
      </c>
      <c r="L130" s="51">
        <v>4</v>
      </c>
      <c r="M130" s="51"/>
      <c r="N130" s="51"/>
      <c r="O130" s="51" t="str">
        <f t="shared" ref="O130:O161" si="31">IF(H130=L130,"完",IF(H130&gt;L130,"未"))</f>
        <v>未</v>
      </c>
      <c r="P130" s="51" t="s">
        <v>40</v>
      </c>
      <c r="Q130" s="51" t="s">
        <v>205</v>
      </c>
      <c r="R130" s="51" t="s">
        <v>87</v>
      </c>
      <c r="S130" s="51" t="s">
        <v>43</v>
      </c>
      <c r="T130" s="51"/>
      <c r="U130" s="59"/>
      <c r="V130" s="51"/>
      <c r="W130" s="51"/>
      <c r="X130" s="51"/>
      <c r="Y130" s="51"/>
      <c r="Z130" s="51"/>
      <c r="AA130" s="51"/>
      <c r="AB130" s="51"/>
      <c r="AC130" s="51"/>
      <c r="AD130" s="51"/>
      <c r="AE130" s="51" t="s">
        <v>40</v>
      </c>
      <c r="AF130" s="51" t="s">
        <v>205</v>
      </c>
      <c r="AG130" s="51" t="s">
        <v>87</v>
      </c>
      <c r="AH130" s="51" t="s">
        <v>43</v>
      </c>
      <c r="AI130" s="51" t="s">
        <v>328</v>
      </c>
      <c r="AJ130" s="51"/>
      <c r="AK130" s="51" t="s">
        <v>224</v>
      </c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</row>
    <row r="131" spans="1:63" ht="30" customHeight="1">
      <c r="A131" s="54">
        <v>130</v>
      </c>
      <c r="B131" s="42" t="s">
        <v>141</v>
      </c>
      <c r="C131" s="54">
        <f t="shared" si="30"/>
        <v>2021</v>
      </c>
      <c r="D131" s="55">
        <v>44311</v>
      </c>
      <c r="E131" s="42" t="s">
        <v>329</v>
      </c>
      <c r="F131" s="54" t="s">
        <v>54</v>
      </c>
      <c r="G131" s="54" t="s">
        <v>55</v>
      </c>
      <c r="H131" s="54"/>
      <c r="I131" s="54"/>
      <c r="J131" s="54"/>
      <c r="K131" s="54" t="str">
        <f t="shared" si="29"/>
        <v>完结</v>
      </c>
      <c r="L131" s="54">
        <v>2</v>
      </c>
      <c r="M131" s="54"/>
      <c r="N131" s="54"/>
      <c r="O131" s="54" t="b">
        <f t="shared" si="31"/>
        <v>0</v>
      </c>
      <c r="P131" s="54"/>
      <c r="Q131" s="54"/>
      <c r="R131" s="54"/>
      <c r="S131" s="54"/>
      <c r="T131" s="54"/>
      <c r="U131" s="59"/>
      <c r="V131" s="54"/>
      <c r="W131" s="54"/>
      <c r="X131" s="54"/>
      <c r="Y131" s="54"/>
      <c r="Z131" s="54"/>
      <c r="AA131" s="54"/>
      <c r="AB131" s="54"/>
      <c r="AC131" s="54"/>
      <c r="AD131" s="54"/>
      <c r="AE131" s="54" t="e">
        <f t="shared" ref="AE131:AE194" si="32">VLOOKUP($E131,$Z$2:$AD$76,2,FALSE)</f>
        <v>#N/A</v>
      </c>
      <c r="AF131" s="54" t="e">
        <f t="shared" ref="AF131:AF194" si="33">VLOOKUP($E131,$Z$2:$AD$76,3,FALSE)</f>
        <v>#N/A</v>
      </c>
      <c r="AG131" s="54" t="e">
        <f t="shared" ref="AG131:AG194" si="34">VLOOKUP($E131,$Z$2:$AD$76,4,FALSE)</f>
        <v>#N/A</v>
      </c>
      <c r="AH131" s="54" t="e">
        <f t="shared" ref="AH131:AH194" si="35">VLOOKUP($E131,$Z$2:$AD$76,5,FALSE)</f>
        <v>#N/A</v>
      </c>
      <c r="AI131" s="54"/>
      <c r="AJ131" s="54"/>
      <c r="AK131" s="54" t="s">
        <v>330</v>
      </c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</row>
    <row r="132" spans="1:63" ht="30" customHeight="1">
      <c r="A132" s="51">
        <v>131</v>
      </c>
      <c r="B132" s="52" t="s">
        <v>124</v>
      </c>
      <c r="C132" s="51">
        <f t="shared" si="30"/>
        <v>2021</v>
      </c>
      <c r="D132" s="53">
        <v>44315</v>
      </c>
      <c r="E132" s="52" t="s">
        <v>331</v>
      </c>
      <c r="F132" s="51" t="s">
        <v>48</v>
      </c>
      <c r="G132" s="51" t="s">
        <v>88</v>
      </c>
      <c r="H132" s="51">
        <v>1</v>
      </c>
      <c r="I132" s="51">
        <v>1</v>
      </c>
      <c r="J132" s="51"/>
      <c r="K132" s="51" t="s">
        <v>140</v>
      </c>
      <c r="L132" s="51">
        <v>0</v>
      </c>
      <c r="M132" s="51"/>
      <c r="N132" s="51"/>
      <c r="O132" s="51" t="str">
        <f t="shared" si="31"/>
        <v>未</v>
      </c>
      <c r="P132" s="51"/>
      <c r="Q132" s="51"/>
      <c r="R132" s="51"/>
      <c r="S132" s="51"/>
      <c r="T132" s="51"/>
      <c r="U132" s="59"/>
      <c r="V132" s="51"/>
      <c r="W132" s="51"/>
      <c r="X132" s="51"/>
      <c r="Y132" s="51"/>
      <c r="Z132" s="51"/>
      <c r="AA132" s="51"/>
      <c r="AB132" s="51"/>
      <c r="AC132" s="51"/>
      <c r="AD132" s="51"/>
      <c r="AE132" s="51" t="e">
        <f t="shared" si="32"/>
        <v>#N/A</v>
      </c>
      <c r="AF132" s="51" t="e">
        <f t="shared" si="33"/>
        <v>#N/A</v>
      </c>
      <c r="AG132" s="51" t="e">
        <f t="shared" si="34"/>
        <v>#N/A</v>
      </c>
      <c r="AH132" s="51" t="e">
        <f t="shared" si="35"/>
        <v>#N/A</v>
      </c>
      <c r="AI132" s="51"/>
      <c r="AJ132" s="51"/>
      <c r="AK132" s="51" t="s">
        <v>143</v>
      </c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</row>
    <row r="133" spans="1:63" ht="30" customHeight="1">
      <c r="A133" s="45">
        <v>132</v>
      </c>
      <c r="B133" s="46" t="s">
        <v>124</v>
      </c>
      <c r="C133" s="45">
        <f t="shared" si="30"/>
        <v>2021</v>
      </c>
      <c r="D133" s="47">
        <v>44326</v>
      </c>
      <c r="E133" s="46" t="s">
        <v>332</v>
      </c>
      <c r="F133" s="45" t="s">
        <v>48</v>
      </c>
      <c r="G133" s="45" t="s">
        <v>88</v>
      </c>
      <c r="H133" s="45">
        <v>3</v>
      </c>
      <c r="I133" s="45">
        <v>3</v>
      </c>
      <c r="J133" s="45"/>
      <c r="K133" s="45" t="str">
        <f t="shared" ref="K133:K139" si="36">IF(H133=I133,"完结",IF(H133&gt;I133,"未完结"))</f>
        <v>完结</v>
      </c>
      <c r="L133" s="45">
        <v>0</v>
      </c>
      <c r="M133" s="45"/>
      <c r="N133" s="45"/>
      <c r="O133" s="45" t="str">
        <f t="shared" si="31"/>
        <v>未</v>
      </c>
      <c r="P133" s="45"/>
      <c r="Q133" s="45"/>
      <c r="R133" s="45"/>
      <c r="S133" s="45"/>
      <c r="T133" s="45"/>
      <c r="U133" s="58"/>
      <c r="V133" s="45"/>
      <c r="W133" s="45"/>
      <c r="X133" s="45"/>
      <c r="Y133" s="45"/>
      <c r="Z133" s="45"/>
      <c r="AA133" s="45"/>
      <c r="AB133" s="45"/>
      <c r="AC133" s="45"/>
      <c r="AD133" s="45"/>
      <c r="AE133" s="45" t="e">
        <f t="shared" si="32"/>
        <v>#N/A</v>
      </c>
      <c r="AF133" s="45" t="e">
        <f t="shared" si="33"/>
        <v>#N/A</v>
      </c>
      <c r="AG133" s="45" t="e">
        <f t="shared" si="34"/>
        <v>#N/A</v>
      </c>
      <c r="AH133" s="45" t="e">
        <f t="shared" si="35"/>
        <v>#N/A</v>
      </c>
      <c r="AI133" s="45"/>
      <c r="AJ133" s="45"/>
      <c r="AK133" s="45" t="s">
        <v>330</v>
      </c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</row>
    <row r="134" spans="1:63" ht="30" customHeight="1">
      <c r="A134" s="51">
        <v>133</v>
      </c>
      <c r="B134" s="52" t="s">
        <v>61</v>
      </c>
      <c r="C134" s="51">
        <f t="shared" si="30"/>
        <v>2021</v>
      </c>
      <c r="D134" s="53">
        <v>44328</v>
      </c>
      <c r="E134" s="52" t="s">
        <v>333</v>
      </c>
      <c r="F134" s="51" t="s">
        <v>54</v>
      </c>
      <c r="G134" s="51" t="s">
        <v>55</v>
      </c>
      <c r="H134" s="51">
        <v>8</v>
      </c>
      <c r="I134" s="51">
        <v>8</v>
      </c>
      <c r="J134" s="51"/>
      <c r="K134" s="51" t="str">
        <f t="shared" si="36"/>
        <v>完结</v>
      </c>
      <c r="L134" s="51">
        <v>3</v>
      </c>
      <c r="M134" s="51"/>
      <c r="N134" s="51"/>
      <c r="O134" s="51" t="str">
        <f t="shared" si="31"/>
        <v>未</v>
      </c>
      <c r="P134" s="51"/>
      <c r="Q134" s="51"/>
      <c r="R134" s="51"/>
      <c r="S134" s="51"/>
      <c r="T134" s="51"/>
      <c r="U134" s="59"/>
      <c r="V134" s="51"/>
      <c r="W134" s="51"/>
      <c r="X134" s="51"/>
      <c r="Y134" s="51"/>
      <c r="Z134" s="51"/>
      <c r="AA134" s="51"/>
      <c r="AB134" s="51"/>
      <c r="AC134" s="51"/>
      <c r="AD134" s="51"/>
      <c r="AE134" s="51" t="e">
        <f t="shared" si="32"/>
        <v>#N/A</v>
      </c>
      <c r="AF134" s="51" t="e">
        <f t="shared" si="33"/>
        <v>#N/A</v>
      </c>
      <c r="AG134" s="51" t="e">
        <f t="shared" si="34"/>
        <v>#N/A</v>
      </c>
      <c r="AH134" s="51" t="e">
        <f t="shared" si="35"/>
        <v>#N/A</v>
      </c>
      <c r="AI134" s="51"/>
      <c r="AJ134" s="51"/>
      <c r="AK134" s="51" t="s">
        <v>44</v>
      </c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</row>
    <row r="135" spans="1:63" ht="30" customHeight="1">
      <c r="A135" s="48">
        <v>134</v>
      </c>
      <c r="B135" s="49" t="s">
        <v>135</v>
      </c>
      <c r="C135" s="48">
        <f t="shared" si="30"/>
        <v>2021</v>
      </c>
      <c r="D135" s="50">
        <v>44337</v>
      </c>
      <c r="E135" s="49" t="s">
        <v>334</v>
      </c>
      <c r="F135" s="48" t="s">
        <v>48</v>
      </c>
      <c r="G135" s="48" t="s">
        <v>47</v>
      </c>
      <c r="H135" s="48">
        <v>7</v>
      </c>
      <c r="I135" s="48">
        <v>7</v>
      </c>
      <c r="J135" s="48"/>
      <c r="K135" s="48" t="str">
        <f t="shared" si="36"/>
        <v>完结</v>
      </c>
      <c r="L135" s="48">
        <v>7</v>
      </c>
      <c r="M135" s="48"/>
      <c r="N135" s="48"/>
      <c r="O135" s="48" t="str">
        <f t="shared" si="31"/>
        <v>完</v>
      </c>
      <c r="P135" s="48"/>
      <c r="Q135" s="48"/>
      <c r="R135" s="48"/>
      <c r="S135" s="48"/>
      <c r="T135" s="48"/>
      <c r="U135" s="59"/>
      <c r="V135" s="48"/>
      <c r="W135" s="48"/>
      <c r="X135" s="48"/>
      <c r="Y135" s="48"/>
      <c r="Z135" s="48"/>
      <c r="AA135" s="48"/>
      <c r="AB135" s="48"/>
      <c r="AC135" s="48"/>
      <c r="AD135" s="48"/>
      <c r="AE135" s="48" t="e">
        <f t="shared" si="32"/>
        <v>#N/A</v>
      </c>
      <c r="AF135" s="48" t="e">
        <f t="shared" si="33"/>
        <v>#N/A</v>
      </c>
      <c r="AG135" s="48" t="e">
        <f t="shared" si="34"/>
        <v>#N/A</v>
      </c>
      <c r="AH135" s="48" t="e">
        <f t="shared" si="35"/>
        <v>#N/A</v>
      </c>
      <c r="AI135" s="48"/>
      <c r="AJ135" s="48"/>
      <c r="AK135" s="48" t="s">
        <v>276</v>
      </c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</row>
    <row r="136" spans="1:63" ht="30" customHeight="1">
      <c r="A136" s="51">
        <v>135</v>
      </c>
      <c r="B136" s="52" t="s">
        <v>135</v>
      </c>
      <c r="C136" s="51">
        <f t="shared" si="30"/>
        <v>2021</v>
      </c>
      <c r="D136" s="53">
        <v>44339</v>
      </c>
      <c r="E136" s="52" t="s">
        <v>335</v>
      </c>
      <c r="F136" s="51" t="s">
        <v>37</v>
      </c>
      <c r="G136" s="51" t="s">
        <v>47</v>
      </c>
      <c r="H136" s="51">
        <v>1</v>
      </c>
      <c r="I136" s="51">
        <v>1</v>
      </c>
      <c r="J136" s="51"/>
      <c r="K136" s="51" t="str">
        <f t="shared" si="36"/>
        <v>完结</v>
      </c>
      <c r="L136" s="51">
        <v>1</v>
      </c>
      <c r="M136" s="51"/>
      <c r="N136" s="51"/>
      <c r="O136" s="51" t="str">
        <f t="shared" si="31"/>
        <v>完</v>
      </c>
      <c r="P136" s="51"/>
      <c r="Q136" s="51"/>
      <c r="R136" s="51"/>
      <c r="S136" s="51"/>
      <c r="T136" s="51"/>
      <c r="U136" s="59"/>
      <c r="V136" s="51"/>
      <c r="W136" s="51"/>
      <c r="X136" s="51"/>
      <c r="Y136" s="51"/>
      <c r="Z136" s="51"/>
      <c r="AA136" s="51"/>
      <c r="AB136" s="51"/>
      <c r="AC136" s="51"/>
      <c r="AD136" s="51"/>
      <c r="AE136" s="51" t="e">
        <f t="shared" si="32"/>
        <v>#N/A</v>
      </c>
      <c r="AF136" s="51" t="e">
        <f t="shared" si="33"/>
        <v>#N/A</v>
      </c>
      <c r="AG136" s="51" t="e">
        <f t="shared" si="34"/>
        <v>#N/A</v>
      </c>
      <c r="AH136" s="51" t="e">
        <f t="shared" si="35"/>
        <v>#N/A</v>
      </c>
      <c r="AI136" s="51"/>
      <c r="AJ136" s="51"/>
      <c r="AK136" s="51" t="s">
        <v>276</v>
      </c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</row>
    <row r="137" spans="1:63" ht="30" customHeight="1">
      <c r="A137" s="54">
        <v>136</v>
      </c>
      <c r="B137" s="42" t="s">
        <v>130</v>
      </c>
      <c r="C137" s="54">
        <f t="shared" si="30"/>
        <v>2021</v>
      </c>
      <c r="D137" s="55">
        <v>44341</v>
      </c>
      <c r="E137" s="42" t="s">
        <v>132</v>
      </c>
      <c r="F137" s="54" t="s">
        <v>37</v>
      </c>
      <c r="G137" s="54" t="s">
        <v>72</v>
      </c>
      <c r="H137" s="54">
        <v>5</v>
      </c>
      <c r="I137" s="54">
        <v>5</v>
      </c>
      <c r="J137" s="54"/>
      <c r="K137" s="54" t="str">
        <f t="shared" si="36"/>
        <v>完结</v>
      </c>
      <c r="L137" s="54">
        <v>5</v>
      </c>
      <c r="M137" s="54"/>
      <c r="N137" s="54"/>
      <c r="O137" s="54" t="str">
        <f t="shared" si="31"/>
        <v>完</v>
      </c>
      <c r="P137" s="54" t="s">
        <v>40</v>
      </c>
      <c r="Q137" s="54" t="s">
        <v>67</v>
      </c>
      <c r="R137" s="54">
        <v>0</v>
      </c>
      <c r="S137" s="54">
        <v>0</v>
      </c>
      <c r="T137" s="54"/>
      <c r="U137" s="59"/>
      <c r="V137" s="54"/>
      <c r="W137" s="54"/>
      <c r="X137" s="54"/>
      <c r="Y137" s="54"/>
      <c r="Z137" s="54"/>
      <c r="AA137" s="54"/>
      <c r="AB137" s="54"/>
      <c r="AC137" s="54"/>
      <c r="AD137" s="54"/>
      <c r="AE137" s="54" t="str">
        <f t="shared" si="32"/>
        <v>省版</v>
      </c>
      <c r="AF137" s="54" t="str">
        <f t="shared" si="33"/>
        <v>2025/6/5</v>
      </c>
      <c r="AG137" s="54">
        <f t="shared" si="34"/>
        <v>0</v>
      </c>
      <c r="AH137" s="54">
        <f t="shared" si="35"/>
        <v>0</v>
      </c>
      <c r="AI137" s="54"/>
      <c r="AJ137" s="54"/>
      <c r="AK137" s="54" t="s">
        <v>236</v>
      </c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4"/>
      <c r="BE137" s="54"/>
      <c r="BF137" s="54"/>
      <c r="BG137" s="54"/>
      <c r="BH137" s="54"/>
      <c r="BI137" s="54"/>
      <c r="BJ137" s="54"/>
      <c r="BK137" s="54"/>
    </row>
    <row r="138" spans="1:63" ht="30" customHeight="1">
      <c r="A138" s="51">
        <v>137</v>
      </c>
      <c r="B138" s="52" t="s">
        <v>35</v>
      </c>
      <c r="C138" s="51">
        <f t="shared" si="30"/>
        <v>2021</v>
      </c>
      <c r="D138" s="53">
        <v>44344</v>
      </c>
      <c r="E138" s="52" t="s">
        <v>336</v>
      </c>
      <c r="F138" s="51" t="s">
        <v>48</v>
      </c>
      <c r="G138" s="51" t="s">
        <v>55</v>
      </c>
      <c r="H138" s="51">
        <v>1</v>
      </c>
      <c r="I138" s="51">
        <v>1</v>
      </c>
      <c r="J138" s="51"/>
      <c r="K138" s="51" t="str">
        <f t="shared" si="36"/>
        <v>完结</v>
      </c>
      <c r="L138" s="51">
        <v>1</v>
      </c>
      <c r="M138" s="51"/>
      <c r="N138" s="51"/>
      <c r="O138" s="51" t="str">
        <f t="shared" si="31"/>
        <v>完</v>
      </c>
      <c r="P138" s="51"/>
      <c r="Q138" s="51"/>
      <c r="R138" s="51"/>
      <c r="S138" s="51"/>
      <c r="T138" s="51"/>
      <c r="U138" s="59"/>
      <c r="V138" s="51"/>
      <c r="W138" s="51"/>
      <c r="X138" s="51"/>
      <c r="Y138" s="51"/>
      <c r="Z138" s="51"/>
      <c r="AA138" s="51"/>
      <c r="AB138" s="51"/>
      <c r="AC138" s="51"/>
      <c r="AD138" s="51"/>
      <c r="AE138" s="51" t="e">
        <f t="shared" si="32"/>
        <v>#N/A</v>
      </c>
      <c r="AF138" s="51" t="e">
        <f t="shared" si="33"/>
        <v>#N/A</v>
      </c>
      <c r="AG138" s="51" t="e">
        <f t="shared" si="34"/>
        <v>#N/A</v>
      </c>
      <c r="AH138" s="51" t="e">
        <f t="shared" si="35"/>
        <v>#N/A</v>
      </c>
      <c r="AI138" s="51"/>
      <c r="AJ138" s="51"/>
      <c r="AK138" s="51" t="s">
        <v>44</v>
      </c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</row>
    <row r="139" spans="1:63" ht="30" customHeight="1">
      <c r="A139" s="45">
        <v>138</v>
      </c>
      <c r="B139" s="46" t="s">
        <v>135</v>
      </c>
      <c r="C139" s="45">
        <f t="shared" si="30"/>
        <v>2021</v>
      </c>
      <c r="D139" s="47">
        <v>44347</v>
      </c>
      <c r="E139" s="46" t="s">
        <v>337</v>
      </c>
      <c r="F139" s="45" t="s">
        <v>48</v>
      </c>
      <c r="G139" s="45" t="s">
        <v>47</v>
      </c>
      <c r="H139" s="45">
        <v>4</v>
      </c>
      <c r="I139" s="45">
        <v>4</v>
      </c>
      <c r="J139" s="45"/>
      <c r="K139" s="45" t="str">
        <f t="shared" si="36"/>
        <v>完结</v>
      </c>
      <c r="L139" s="45">
        <v>4</v>
      </c>
      <c r="M139" s="45"/>
      <c r="N139" s="45"/>
      <c r="O139" s="45" t="str">
        <f t="shared" si="31"/>
        <v>完</v>
      </c>
      <c r="P139" s="45"/>
      <c r="Q139" s="45"/>
      <c r="R139" s="45"/>
      <c r="S139" s="45"/>
      <c r="T139" s="45"/>
      <c r="U139" s="58"/>
      <c r="V139" s="45"/>
      <c r="W139" s="45"/>
      <c r="X139" s="45"/>
      <c r="Y139" s="45"/>
      <c r="Z139" s="45"/>
      <c r="AA139" s="45"/>
      <c r="AB139" s="45"/>
      <c r="AC139" s="45"/>
      <c r="AD139" s="45"/>
      <c r="AE139" s="45" t="e">
        <f t="shared" si="32"/>
        <v>#N/A</v>
      </c>
      <c r="AF139" s="45" t="e">
        <f t="shared" si="33"/>
        <v>#N/A</v>
      </c>
      <c r="AG139" s="45" t="e">
        <f t="shared" si="34"/>
        <v>#N/A</v>
      </c>
      <c r="AH139" s="45" t="e">
        <f t="shared" si="35"/>
        <v>#N/A</v>
      </c>
      <c r="AI139" s="45"/>
      <c r="AJ139" s="45"/>
      <c r="AK139" s="45" t="s">
        <v>276</v>
      </c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</row>
    <row r="140" spans="1:63" ht="30" customHeight="1">
      <c r="A140" s="51">
        <v>139</v>
      </c>
      <c r="B140" s="52" t="s">
        <v>61</v>
      </c>
      <c r="C140" s="51">
        <f t="shared" si="30"/>
        <v>2021</v>
      </c>
      <c r="D140" s="53">
        <v>44349</v>
      </c>
      <c r="E140" s="52" t="s">
        <v>338</v>
      </c>
      <c r="F140" s="51" t="s">
        <v>54</v>
      </c>
      <c r="G140" s="51" t="s">
        <v>55</v>
      </c>
      <c r="H140" s="51">
        <v>12</v>
      </c>
      <c r="I140" s="51">
        <v>11</v>
      </c>
      <c r="J140" s="51"/>
      <c r="K140" s="51" t="str">
        <f>IF(H140=I140,"完结",IF(H140&gt;I140,"下载中"))</f>
        <v>下载中</v>
      </c>
      <c r="L140" s="51">
        <v>3</v>
      </c>
      <c r="M140" s="51"/>
      <c r="N140" s="51"/>
      <c r="O140" s="51" t="str">
        <f t="shared" si="31"/>
        <v>未</v>
      </c>
      <c r="P140" s="51"/>
      <c r="Q140" s="51"/>
      <c r="R140" s="51"/>
      <c r="S140" s="51"/>
      <c r="T140" s="51"/>
      <c r="U140" s="59"/>
      <c r="V140" s="51"/>
      <c r="W140" s="51"/>
      <c r="X140" s="51"/>
      <c r="Y140" s="51"/>
      <c r="Z140" s="51"/>
      <c r="AA140" s="51"/>
      <c r="AB140" s="51"/>
      <c r="AC140" s="51"/>
      <c r="AD140" s="51"/>
      <c r="AE140" s="51" t="e">
        <f t="shared" si="32"/>
        <v>#N/A</v>
      </c>
      <c r="AF140" s="51" t="e">
        <f t="shared" si="33"/>
        <v>#N/A</v>
      </c>
      <c r="AG140" s="51" t="e">
        <f t="shared" si="34"/>
        <v>#N/A</v>
      </c>
      <c r="AH140" s="51" t="e">
        <f t="shared" si="35"/>
        <v>#N/A</v>
      </c>
      <c r="AI140" s="51"/>
      <c r="AJ140" s="51"/>
      <c r="AK140" s="51" t="s">
        <v>44</v>
      </c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</row>
    <row r="141" spans="1:63" ht="30" customHeight="1">
      <c r="A141" s="48">
        <v>140</v>
      </c>
      <c r="B141" s="49" t="s">
        <v>161</v>
      </c>
      <c r="C141" s="48">
        <f t="shared" si="30"/>
        <v>2021</v>
      </c>
      <c r="D141" s="50">
        <v>44351</v>
      </c>
      <c r="E141" s="49" t="s">
        <v>339</v>
      </c>
      <c r="F141" s="48" t="s">
        <v>107</v>
      </c>
      <c r="G141" s="48" t="s">
        <v>55</v>
      </c>
      <c r="H141" s="48">
        <v>28</v>
      </c>
      <c r="I141" s="48">
        <v>0</v>
      </c>
      <c r="J141" s="48"/>
      <c r="K141" s="48" t="s">
        <v>140</v>
      </c>
      <c r="L141" s="48"/>
      <c r="M141" s="48"/>
      <c r="N141" s="48"/>
      <c r="O141" s="48" t="str">
        <f t="shared" si="31"/>
        <v>未</v>
      </c>
      <c r="P141" s="48"/>
      <c r="Q141" s="48"/>
      <c r="R141" s="48"/>
      <c r="S141" s="48"/>
      <c r="T141" s="48"/>
      <c r="U141" s="59"/>
      <c r="V141" s="48"/>
      <c r="W141" s="48"/>
      <c r="X141" s="48"/>
      <c r="Y141" s="48"/>
      <c r="Z141" s="48"/>
      <c r="AA141" s="48"/>
      <c r="AB141" s="48"/>
      <c r="AC141" s="48"/>
      <c r="AD141" s="48"/>
      <c r="AE141" s="48" t="e">
        <f t="shared" si="32"/>
        <v>#N/A</v>
      </c>
      <c r="AF141" s="48" t="e">
        <f t="shared" si="33"/>
        <v>#N/A</v>
      </c>
      <c r="AG141" s="48" t="e">
        <f t="shared" si="34"/>
        <v>#N/A</v>
      </c>
      <c r="AH141" s="48" t="e">
        <f t="shared" si="35"/>
        <v>#N/A</v>
      </c>
      <c r="AI141" s="48"/>
      <c r="AJ141" s="48"/>
      <c r="AK141" s="48" t="s">
        <v>143</v>
      </c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</row>
    <row r="142" spans="1:63" ht="30" customHeight="1">
      <c r="A142" s="51">
        <v>141</v>
      </c>
      <c r="B142" s="52" t="s">
        <v>61</v>
      </c>
      <c r="C142" s="51">
        <f t="shared" si="30"/>
        <v>2021</v>
      </c>
      <c r="D142" s="53">
        <v>44372</v>
      </c>
      <c r="E142" s="52" t="s">
        <v>340</v>
      </c>
      <c r="F142" s="51" t="s">
        <v>37</v>
      </c>
      <c r="G142" s="51" t="s">
        <v>63</v>
      </c>
      <c r="H142" s="51">
        <v>12</v>
      </c>
      <c r="I142" s="51">
        <v>12</v>
      </c>
      <c r="J142" s="51"/>
      <c r="K142" s="51" t="str">
        <f>IF(H142=I142,"完结",IF(H142&gt;I142,"未完结"))</f>
        <v>完结</v>
      </c>
      <c r="L142" s="51">
        <v>12</v>
      </c>
      <c r="M142" s="51"/>
      <c r="N142" s="51"/>
      <c r="O142" s="51" t="str">
        <f t="shared" si="31"/>
        <v>完</v>
      </c>
      <c r="P142" s="51"/>
      <c r="Q142" s="51"/>
      <c r="R142" s="51"/>
      <c r="S142" s="51"/>
      <c r="T142" s="51"/>
      <c r="U142" s="59"/>
      <c r="V142" s="51"/>
      <c r="W142" s="51"/>
      <c r="X142" s="51"/>
      <c r="Y142" s="51"/>
      <c r="Z142" s="51"/>
      <c r="AA142" s="51"/>
      <c r="AB142" s="51"/>
      <c r="AC142" s="51"/>
      <c r="AD142" s="51"/>
      <c r="AE142" s="51" t="e">
        <f t="shared" si="32"/>
        <v>#N/A</v>
      </c>
      <c r="AF142" s="51" t="e">
        <f t="shared" si="33"/>
        <v>#N/A</v>
      </c>
      <c r="AG142" s="51" t="e">
        <f t="shared" si="34"/>
        <v>#N/A</v>
      </c>
      <c r="AH142" s="51" t="e">
        <f t="shared" si="35"/>
        <v>#N/A</v>
      </c>
      <c r="AI142" s="51"/>
      <c r="AJ142" s="51"/>
      <c r="AK142" s="51" t="s">
        <v>44</v>
      </c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</row>
    <row r="143" spans="1:63" ht="30" customHeight="1">
      <c r="A143" s="54">
        <v>142</v>
      </c>
      <c r="B143" s="42" t="s">
        <v>135</v>
      </c>
      <c r="C143" s="54">
        <f t="shared" si="30"/>
        <v>2021</v>
      </c>
      <c r="D143" s="55">
        <v>44372</v>
      </c>
      <c r="E143" s="42" t="s">
        <v>341</v>
      </c>
      <c r="F143" s="54" t="s">
        <v>48</v>
      </c>
      <c r="G143" s="54" t="s">
        <v>47</v>
      </c>
      <c r="H143" s="54">
        <v>6</v>
      </c>
      <c r="I143" s="54">
        <v>6</v>
      </c>
      <c r="J143" s="54"/>
      <c r="K143" s="54" t="str">
        <f>IF(H143=I143,"完结",IF(H143&gt;I143,"未完结"))</f>
        <v>完结</v>
      </c>
      <c r="L143" s="54">
        <v>6</v>
      </c>
      <c r="M143" s="54"/>
      <c r="N143" s="54"/>
      <c r="O143" s="54" t="str">
        <f t="shared" si="31"/>
        <v>完</v>
      </c>
      <c r="P143" s="54"/>
      <c r="Q143" s="54"/>
      <c r="R143" s="54"/>
      <c r="S143" s="54"/>
      <c r="T143" s="54"/>
      <c r="U143" s="59"/>
      <c r="V143" s="54"/>
      <c r="W143" s="54"/>
      <c r="X143" s="54"/>
      <c r="Y143" s="54"/>
      <c r="Z143" s="54"/>
      <c r="AA143" s="54"/>
      <c r="AB143" s="54"/>
      <c r="AC143" s="54"/>
      <c r="AD143" s="54"/>
      <c r="AE143" s="54" t="e">
        <f t="shared" si="32"/>
        <v>#N/A</v>
      </c>
      <c r="AF143" s="54" t="e">
        <f t="shared" si="33"/>
        <v>#N/A</v>
      </c>
      <c r="AG143" s="54" t="e">
        <f t="shared" si="34"/>
        <v>#N/A</v>
      </c>
      <c r="AH143" s="54" t="e">
        <f t="shared" si="35"/>
        <v>#N/A</v>
      </c>
      <c r="AI143" s="54"/>
      <c r="AJ143" s="54"/>
      <c r="AK143" s="54" t="s">
        <v>276</v>
      </c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4"/>
      <c r="BE143" s="54"/>
      <c r="BF143" s="54"/>
      <c r="BG143" s="54"/>
      <c r="BH143" s="54"/>
      <c r="BI143" s="54"/>
      <c r="BJ143" s="54"/>
      <c r="BK143" s="54"/>
    </row>
    <row r="144" spans="1:63" ht="30" customHeight="1">
      <c r="A144" s="51">
        <v>143</v>
      </c>
      <c r="B144" s="52" t="s">
        <v>61</v>
      </c>
      <c r="C144" s="51">
        <f t="shared" si="30"/>
        <v>2021</v>
      </c>
      <c r="D144" s="53">
        <v>44393</v>
      </c>
      <c r="E144" s="52" t="s">
        <v>342</v>
      </c>
      <c r="F144" s="51" t="s">
        <v>54</v>
      </c>
      <c r="G144" s="51" t="s">
        <v>63</v>
      </c>
      <c r="H144" s="51">
        <v>8</v>
      </c>
      <c r="I144" s="51">
        <v>4</v>
      </c>
      <c r="J144" s="51"/>
      <c r="K144" s="51" t="s">
        <v>140</v>
      </c>
      <c r="L144" s="51"/>
      <c r="M144" s="51"/>
      <c r="N144" s="51"/>
      <c r="O144" s="51" t="str">
        <f t="shared" si="31"/>
        <v>未</v>
      </c>
      <c r="P144" s="51"/>
      <c r="Q144" s="51"/>
      <c r="R144" s="51"/>
      <c r="S144" s="51"/>
      <c r="T144" s="51"/>
      <c r="U144" s="59"/>
      <c r="V144" s="51"/>
      <c r="W144" s="51"/>
      <c r="X144" s="51"/>
      <c r="Y144" s="51"/>
      <c r="Z144" s="51"/>
      <c r="AA144" s="51"/>
      <c r="AB144" s="51"/>
      <c r="AC144" s="51"/>
      <c r="AD144" s="51"/>
      <c r="AE144" s="51" t="e">
        <f t="shared" si="32"/>
        <v>#N/A</v>
      </c>
      <c r="AF144" s="51" t="e">
        <f t="shared" si="33"/>
        <v>#N/A</v>
      </c>
      <c r="AG144" s="51" t="e">
        <f t="shared" si="34"/>
        <v>#N/A</v>
      </c>
      <c r="AH144" s="51" t="e">
        <f t="shared" si="35"/>
        <v>#N/A</v>
      </c>
      <c r="AI144" s="51"/>
      <c r="AJ144" s="51"/>
      <c r="AK144" s="51" t="s">
        <v>143</v>
      </c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</row>
    <row r="145" spans="1:63" ht="30" customHeight="1">
      <c r="A145" s="45">
        <v>144</v>
      </c>
      <c r="B145" s="46" t="s">
        <v>61</v>
      </c>
      <c r="C145" s="45">
        <f t="shared" si="30"/>
        <v>2021</v>
      </c>
      <c r="D145" s="47">
        <v>44398</v>
      </c>
      <c r="E145" s="46" t="s">
        <v>343</v>
      </c>
      <c r="F145" s="45" t="s">
        <v>48</v>
      </c>
      <c r="G145" s="45" t="s">
        <v>88</v>
      </c>
      <c r="H145" s="45">
        <v>8</v>
      </c>
      <c r="I145" s="45">
        <v>8</v>
      </c>
      <c r="J145" s="45"/>
      <c r="K145" s="45" t="str">
        <f>IF(H145=I145,"完结",IF(H145&gt;I145,"未完结"))</f>
        <v>完结</v>
      </c>
      <c r="L145" s="45">
        <v>8</v>
      </c>
      <c r="M145" s="45"/>
      <c r="N145" s="45"/>
      <c r="O145" s="45" t="str">
        <f t="shared" si="31"/>
        <v>完</v>
      </c>
      <c r="P145" s="45"/>
      <c r="Q145" s="45"/>
      <c r="R145" s="45"/>
      <c r="S145" s="45"/>
      <c r="T145" s="45"/>
      <c r="U145" s="58"/>
      <c r="V145" s="45"/>
      <c r="W145" s="45"/>
      <c r="X145" s="45"/>
      <c r="Y145" s="45"/>
      <c r="Z145" s="45"/>
      <c r="AA145" s="45"/>
      <c r="AB145" s="45"/>
      <c r="AC145" s="45"/>
      <c r="AD145" s="45"/>
      <c r="AE145" s="45" t="e">
        <f t="shared" si="32"/>
        <v>#N/A</v>
      </c>
      <c r="AF145" s="45" t="e">
        <f t="shared" si="33"/>
        <v>#N/A</v>
      </c>
      <c r="AG145" s="45" t="e">
        <f t="shared" si="34"/>
        <v>#N/A</v>
      </c>
      <c r="AH145" s="45" t="e">
        <f t="shared" si="35"/>
        <v>#N/A</v>
      </c>
      <c r="AI145" s="45"/>
      <c r="AJ145" s="45"/>
      <c r="AK145" s="45" t="s">
        <v>44</v>
      </c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45"/>
      <c r="BE145" s="45"/>
      <c r="BF145" s="45"/>
      <c r="BG145" s="45"/>
      <c r="BH145" s="45"/>
      <c r="BI145" s="45"/>
      <c r="BJ145" s="45"/>
      <c r="BK145" s="45"/>
    </row>
    <row r="146" spans="1:63" ht="30" customHeight="1">
      <c r="A146" s="51">
        <v>145</v>
      </c>
      <c r="B146" s="52" t="s">
        <v>124</v>
      </c>
      <c r="C146" s="51">
        <f t="shared" si="30"/>
        <v>2021</v>
      </c>
      <c r="D146" s="53">
        <v>44398</v>
      </c>
      <c r="E146" s="52" t="s">
        <v>344</v>
      </c>
      <c r="F146" s="51" t="s">
        <v>107</v>
      </c>
      <c r="G146" s="51" t="s">
        <v>115</v>
      </c>
      <c r="H146" s="51">
        <v>7</v>
      </c>
      <c r="I146" s="51">
        <v>1</v>
      </c>
      <c r="J146" s="51"/>
      <c r="K146" s="51" t="s">
        <v>140</v>
      </c>
      <c r="L146" s="51"/>
      <c r="M146" s="51"/>
      <c r="N146" s="51"/>
      <c r="O146" s="51" t="str">
        <f t="shared" si="31"/>
        <v>未</v>
      </c>
      <c r="P146" s="51"/>
      <c r="Q146" s="51"/>
      <c r="R146" s="51"/>
      <c r="S146" s="51"/>
      <c r="T146" s="51"/>
      <c r="U146" s="59"/>
      <c r="V146" s="51"/>
      <c r="W146" s="51"/>
      <c r="X146" s="51"/>
      <c r="Y146" s="51"/>
      <c r="Z146" s="51"/>
      <c r="AA146" s="51"/>
      <c r="AB146" s="51"/>
      <c r="AC146" s="51"/>
      <c r="AD146" s="51"/>
      <c r="AE146" s="51" t="e">
        <f t="shared" si="32"/>
        <v>#N/A</v>
      </c>
      <c r="AF146" s="51" t="e">
        <f t="shared" si="33"/>
        <v>#N/A</v>
      </c>
      <c r="AG146" s="51" t="e">
        <f t="shared" si="34"/>
        <v>#N/A</v>
      </c>
      <c r="AH146" s="51" t="e">
        <f t="shared" si="35"/>
        <v>#N/A</v>
      </c>
      <c r="AI146" s="51"/>
      <c r="AJ146" s="51"/>
      <c r="AK146" s="51" t="s">
        <v>143</v>
      </c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</row>
    <row r="147" spans="1:63" ht="30" customHeight="1">
      <c r="A147" s="48">
        <v>146</v>
      </c>
      <c r="B147" s="49" t="s">
        <v>49</v>
      </c>
      <c r="C147" s="48">
        <f t="shared" si="30"/>
        <v>2021</v>
      </c>
      <c r="D147" s="50">
        <v>44399</v>
      </c>
      <c r="E147" s="49" t="s">
        <v>196</v>
      </c>
      <c r="F147" s="48" t="s">
        <v>81</v>
      </c>
      <c r="G147" s="48" t="s">
        <v>345</v>
      </c>
      <c r="H147" s="48">
        <v>13</v>
      </c>
      <c r="I147" s="48">
        <v>6</v>
      </c>
      <c r="J147" s="48"/>
      <c r="K147" s="48" t="str">
        <f>IF(H147=I147,"完结",IF(H147&gt;I147,"下载中"))</f>
        <v>下载中</v>
      </c>
      <c r="L147" s="48">
        <v>6</v>
      </c>
      <c r="M147" s="48"/>
      <c r="N147" s="48"/>
      <c r="O147" s="48" t="str">
        <f t="shared" si="31"/>
        <v>未</v>
      </c>
      <c r="P147" s="48" t="s">
        <v>40</v>
      </c>
      <c r="Q147" s="48" t="s">
        <v>181</v>
      </c>
      <c r="R147" s="48" t="s">
        <v>42</v>
      </c>
      <c r="S147" s="48" t="s">
        <v>43</v>
      </c>
      <c r="T147" s="48"/>
      <c r="U147" s="59"/>
      <c r="V147" s="48"/>
      <c r="W147" s="48"/>
      <c r="X147" s="48"/>
      <c r="Y147" s="48"/>
      <c r="Z147" s="48"/>
      <c r="AA147" s="48"/>
      <c r="AB147" s="48"/>
      <c r="AC147" s="48"/>
      <c r="AD147" s="48"/>
      <c r="AE147" s="48" t="str">
        <f t="shared" si="32"/>
        <v>省版</v>
      </c>
      <c r="AF147" s="48" t="str">
        <f t="shared" si="33"/>
        <v>2025/6/2</v>
      </c>
      <c r="AG147" s="48" t="str">
        <f t="shared" si="34"/>
        <v>2025/7/4</v>
      </c>
      <c r="AH147" s="48" t="str">
        <f t="shared" si="35"/>
        <v>已发证</v>
      </c>
      <c r="AI147" s="48"/>
      <c r="AJ147" s="48"/>
      <c r="AK147" s="48" t="s">
        <v>224</v>
      </c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</row>
    <row r="148" spans="1:63" ht="30" customHeight="1">
      <c r="A148" s="51">
        <v>147</v>
      </c>
      <c r="B148" s="52" t="s">
        <v>130</v>
      </c>
      <c r="C148" s="51">
        <f t="shared" si="30"/>
        <v>2021</v>
      </c>
      <c r="D148" s="53">
        <v>44399</v>
      </c>
      <c r="E148" s="52" t="s">
        <v>346</v>
      </c>
      <c r="F148" s="51" t="s">
        <v>37</v>
      </c>
      <c r="G148" s="51" t="s">
        <v>72</v>
      </c>
      <c r="H148" s="51">
        <v>6</v>
      </c>
      <c r="I148" s="51">
        <v>6</v>
      </c>
      <c r="J148" s="51"/>
      <c r="K148" s="51" t="str">
        <f t="shared" ref="K148:K184" si="37">IF(H148=I148,"完结",IF(H148&gt;I148,"未完结"))</f>
        <v>完结</v>
      </c>
      <c r="L148" s="51">
        <v>6</v>
      </c>
      <c r="M148" s="51"/>
      <c r="N148" s="51"/>
      <c r="O148" s="51" t="str">
        <f t="shared" si="31"/>
        <v>完</v>
      </c>
      <c r="P148" s="51"/>
      <c r="Q148" s="51"/>
      <c r="R148" s="51"/>
      <c r="S148" s="51"/>
      <c r="T148" s="51"/>
      <c r="U148" s="59"/>
      <c r="V148" s="51"/>
      <c r="W148" s="51"/>
      <c r="X148" s="51"/>
      <c r="Y148" s="51"/>
      <c r="Z148" s="51"/>
      <c r="AA148" s="51"/>
      <c r="AB148" s="51"/>
      <c r="AC148" s="51"/>
      <c r="AD148" s="51"/>
      <c r="AE148" s="51" t="e">
        <f t="shared" si="32"/>
        <v>#N/A</v>
      </c>
      <c r="AF148" s="51" t="e">
        <f t="shared" si="33"/>
        <v>#N/A</v>
      </c>
      <c r="AG148" s="51" t="e">
        <f t="shared" si="34"/>
        <v>#N/A</v>
      </c>
      <c r="AH148" s="51" t="e">
        <f t="shared" si="35"/>
        <v>#N/A</v>
      </c>
      <c r="AI148" s="51"/>
      <c r="AJ148" s="51"/>
      <c r="AK148" s="51" t="s">
        <v>44</v>
      </c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</row>
    <row r="149" spans="1:63" ht="30" customHeight="1">
      <c r="A149" s="54">
        <v>148</v>
      </c>
      <c r="B149" s="42" t="s">
        <v>135</v>
      </c>
      <c r="C149" s="54">
        <f t="shared" si="30"/>
        <v>2021</v>
      </c>
      <c r="D149" s="55">
        <v>44401</v>
      </c>
      <c r="E149" s="42" t="s">
        <v>347</v>
      </c>
      <c r="F149" s="54" t="s">
        <v>48</v>
      </c>
      <c r="G149" s="54" t="s">
        <v>47</v>
      </c>
      <c r="H149" s="54">
        <v>6</v>
      </c>
      <c r="I149" s="54">
        <v>6</v>
      </c>
      <c r="J149" s="54"/>
      <c r="K149" s="54" t="str">
        <f t="shared" si="37"/>
        <v>完结</v>
      </c>
      <c r="L149" s="54">
        <v>6</v>
      </c>
      <c r="M149" s="54"/>
      <c r="N149" s="54"/>
      <c r="O149" s="54" t="str">
        <f t="shared" si="31"/>
        <v>完</v>
      </c>
      <c r="P149" s="54"/>
      <c r="Q149" s="54"/>
      <c r="R149" s="54"/>
      <c r="S149" s="54"/>
      <c r="T149" s="54"/>
      <c r="U149" s="59"/>
      <c r="V149" s="54"/>
      <c r="W149" s="54"/>
      <c r="X149" s="54"/>
      <c r="Y149" s="54"/>
      <c r="Z149" s="54"/>
      <c r="AA149" s="54"/>
      <c r="AB149" s="54"/>
      <c r="AC149" s="54"/>
      <c r="AD149" s="54"/>
      <c r="AE149" s="54" t="e">
        <f t="shared" si="32"/>
        <v>#N/A</v>
      </c>
      <c r="AF149" s="54" t="e">
        <f t="shared" si="33"/>
        <v>#N/A</v>
      </c>
      <c r="AG149" s="54" t="e">
        <f t="shared" si="34"/>
        <v>#N/A</v>
      </c>
      <c r="AH149" s="54" t="e">
        <f t="shared" si="35"/>
        <v>#N/A</v>
      </c>
      <c r="AI149" s="54"/>
      <c r="AJ149" s="54"/>
      <c r="AK149" s="54" t="s">
        <v>276</v>
      </c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4"/>
      <c r="BE149" s="54"/>
      <c r="BF149" s="54"/>
      <c r="BG149" s="54"/>
      <c r="BH149" s="54"/>
      <c r="BI149" s="54"/>
      <c r="BJ149" s="54"/>
      <c r="BK149" s="54"/>
    </row>
    <row r="150" spans="1:63" ht="30" customHeight="1">
      <c r="A150" s="51">
        <v>149</v>
      </c>
      <c r="B150" s="52" t="s">
        <v>61</v>
      </c>
      <c r="C150" s="51">
        <f t="shared" si="30"/>
        <v>2021</v>
      </c>
      <c r="D150" s="53">
        <v>44405</v>
      </c>
      <c r="E150" s="52" t="s">
        <v>342</v>
      </c>
      <c r="F150" s="51" t="s">
        <v>54</v>
      </c>
      <c r="G150" s="51" t="s">
        <v>47</v>
      </c>
      <c r="H150" s="51">
        <v>7</v>
      </c>
      <c r="I150" s="51">
        <v>7</v>
      </c>
      <c r="J150" s="51"/>
      <c r="K150" s="51" t="str">
        <f t="shared" si="37"/>
        <v>完结</v>
      </c>
      <c r="L150" s="51">
        <v>7</v>
      </c>
      <c r="M150" s="51"/>
      <c r="N150" s="51"/>
      <c r="O150" s="51" t="str">
        <f t="shared" si="31"/>
        <v>完</v>
      </c>
      <c r="P150" s="51"/>
      <c r="Q150" s="51"/>
      <c r="R150" s="51"/>
      <c r="S150" s="51"/>
      <c r="T150" s="51"/>
      <c r="U150" s="59"/>
      <c r="V150" s="51"/>
      <c r="W150" s="51"/>
      <c r="X150" s="51"/>
      <c r="Y150" s="51"/>
      <c r="Z150" s="51"/>
      <c r="AA150" s="51"/>
      <c r="AB150" s="51"/>
      <c r="AC150" s="51"/>
      <c r="AD150" s="51"/>
      <c r="AE150" s="51" t="e">
        <f t="shared" si="32"/>
        <v>#N/A</v>
      </c>
      <c r="AF150" s="51" t="e">
        <f t="shared" si="33"/>
        <v>#N/A</v>
      </c>
      <c r="AG150" s="51" t="e">
        <f t="shared" si="34"/>
        <v>#N/A</v>
      </c>
      <c r="AH150" s="51" t="e">
        <f t="shared" si="35"/>
        <v>#N/A</v>
      </c>
      <c r="AI150" s="51"/>
      <c r="AJ150" s="51"/>
      <c r="AK150" s="51" t="s">
        <v>44</v>
      </c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</row>
    <row r="151" spans="1:63" ht="30" customHeight="1">
      <c r="A151" s="45">
        <v>150</v>
      </c>
      <c r="B151" s="46" t="s">
        <v>49</v>
      </c>
      <c r="C151" s="45">
        <f t="shared" si="30"/>
        <v>2021</v>
      </c>
      <c r="D151" s="47">
        <v>44406</v>
      </c>
      <c r="E151" s="46" t="s">
        <v>200</v>
      </c>
      <c r="F151" s="45" t="s">
        <v>37</v>
      </c>
      <c r="G151" s="45" t="s">
        <v>72</v>
      </c>
      <c r="H151" s="45">
        <v>8</v>
      </c>
      <c r="I151" s="45">
        <v>8</v>
      </c>
      <c r="J151" s="45"/>
      <c r="K151" s="45" t="str">
        <f t="shared" si="37"/>
        <v>完结</v>
      </c>
      <c r="L151" s="45">
        <v>8</v>
      </c>
      <c r="M151" s="45"/>
      <c r="N151" s="45"/>
      <c r="O151" s="45" t="str">
        <f t="shared" si="31"/>
        <v>完</v>
      </c>
      <c r="P151" s="45" t="s">
        <v>40</v>
      </c>
      <c r="Q151" s="45" t="s">
        <v>56</v>
      </c>
      <c r="R151" s="45" t="s">
        <v>42</v>
      </c>
      <c r="S151" s="45" t="s">
        <v>43</v>
      </c>
      <c r="T151" s="45"/>
      <c r="U151" s="58"/>
      <c r="V151" s="45"/>
      <c r="W151" s="45"/>
      <c r="X151" s="45"/>
      <c r="Y151" s="45"/>
      <c r="Z151" s="45"/>
      <c r="AA151" s="45"/>
      <c r="AB151" s="45"/>
      <c r="AC151" s="45"/>
      <c r="AD151" s="45"/>
      <c r="AE151" s="45" t="str">
        <f t="shared" si="32"/>
        <v>省版</v>
      </c>
      <c r="AF151" s="45" t="str">
        <f t="shared" si="33"/>
        <v>2025/6/4</v>
      </c>
      <c r="AG151" s="45" t="str">
        <f t="shared" si="34"/>
        <v>2025/7/4</v>
      </c>
      <c r="AH151" s="45" t="str">
        <f t="shared" si="35"/>
        <v>已发证</v>
      </c>
      <c r="AI151" s="45"/>
      <c r="AJ151" s="45"/>
      <c r="AK151" s="45" t="s">
        <v>224</v>
      </c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45"/>
      <c r="BE151" s="45"/>
      <c r="BF151" s="45"/>
      <c r="BG151" s="45"/>
      <c r="BH151" s="45"/>
      <c r="BI151" s="45"/>
      <c r="BJ151" s="45"/>
      <c r="BK151" s="45"/>
    </row>
    <row r="152" spans="1:63" ht="30" customHeight="1">
      <c r="A152" s="51">
        <v>151</v>
      </c>
      <c r="B152" s="52" t="s">
        <v>61</v>
      </c>
      <c r="C152" s="51">
        <f t="shared" si="30"/>
        <v>2021</v>
      </c>
      <c r="D152" s="53">
        <v>44445</v>
      </c>
      <c r="E152" s="52" t="s">
        <v>348</v>
      </c>
      <c r="F152" s="51" t="s">
        <v>48</v>
      </c>
      <c r="G152" s="51" t="s">
        <v>47</v>
      </c>
      <c r="H152" s="51">
        <v>17</v>
      </c>
      <c r="I152" s="51">
        <v>13</v>
      </c>
      <c r="J152" s="51"/>
      <c r="K152" s="51" t="str">
        <f>IF(H152=I152,"完结",IF(H152&gt;I152,"下载中"))</f>
        <v>下载中</v>
      </c>
      <c r="L152" s="51">
        <v>13</v>
      </c>
      <c r="M152" s="51"/>
      <c r="N152" s="51"/>
      <c r="O152" s="51" t="str">
        <f t="shared" si="31"/>
        <v>未</v>
      </c>
      <c r="P152" s="51"/>
      <c r="Q152" s="51"/>
      <c r="R152" s="51"/>
      <c r="S152" s="51"/>
      <c r="T152" s="51"/>
      <c r="U152" s="59"/>
      <c r="V152" s="51"/>
      <c r="W152" s="51"/>
      <c r="X152" s="51"/>
      <c r="Y152" s="51"/>
      <c r="Z152" s="51"/>
      <c r="AA152" s="51"/>
      <c r="AB152" s="51"/>
      <c r="AC152" s="51"/>
      <c r="AD152" s="51"/>
      <c r="AE152" s="51" t="e">
        <f t="shared" si="32"/>
        <v>#N/A</v>
      </c>
      <c r="AF152" s="51" t="e">
        <f t="shared" si="33"/>
        <v>#N/A</v>
      </c>
      <c r="AG152" s="51" t="e">
        <f t="shared" si="34"/>
        <v>#N/A</v>
      </c>
      <c r="AH152" s="51" t="e">
        <f t="shared" si="35"/>
        <v>#N/A</v>
      </c>
      <c r="AI152" s="51"/>
      <c r="AJ152" s="51"/>
      <c r="AK152" s="51" t="s">
        <v>44</v>
      </c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</row>
    <row r="153" spans="1:63" ht="30" customHeight="1">
      <c r="A153" s="48">
        <v>152</v>
      </c>
      <c r="B153" s="49" t="s">
        <v>130</v>
      </c>
      <c r="C153" s="48">
        <f t="shared" si="30"/>
        <v>2021</v>
      </c>
      <c r="D153" s="50">
        <v>44462</v>
      </c>
      <c r="E153" s="49" t="s">
        <v>349</v>
      </c>
      <c r="F153" s="48" t="s">
        <v>48</v>
      </c>
      <c r="G153" s="48" t="s">
        <v>47</v>
      </c>
      <c r="H153" s="48">
        <v>5</v>
      </c>
      <c r="I153" s="48">
        <v>4</v>
      </c>
      <c r="J153" s="48"/>
      <c r="K153" s="48" t="str">
        <f>IF(H153=I153,"完结",IF(H153&gt;I153,"下载中"))</f>
        <v>下载中</v>
      </c>
      <c r="L153" s="48">
        <v>4</v>
      </c>
      <c r="M153" s="48"/>
      <c r="N153" s="48"/>
      <c r="O153" s="48" t="str">
        <f t="shared" si="31"/>
        <v>未</v>
      </c>
      <c r="P153" s="48"/>
      <c r="Q153" s="48"/>
      <c r="R153" s="48"/>
      <c r="S153" s="48"/>
      <c r="T153" s="48"/>
      <c r="U153" s="59"/>
      <c r="V153" s="48"/>
      <c r="W153" s="48"/>
      <c r="X153" s="48"/>
      <c r="Y153" s="48"/>
      <c r="Z153" s="48"/>
      <c r="AA153" s="48"/>
      <c r="AB153" s="48"/>
      <c r="AC153" s="48"/>
      <c r="AD153" s="48"/>
      <c r="AE153" s="48" t="e">
        <f t="shared" si="32"/>
        <v>#N/A</v>
      </c>
      <c r="AF153" s="48" t="e">
        <f t="shared" si="33"/>
        <v>#N/A</v>
      </c>
      <c r="AG153" s="48" t="e">
        <f t="shared" si="34"/>
        <v>#N/A</v>
      </c>
      <c r="AH153" s="48" t="e">
        <f t="shared" si="35"/>
        <v>#N/A</v>
      </c>
      <c r="AI153" s="48"/>
      <c r="AJ153" s="48"/>
      <c r="AK153" s="48" t="s">
        <v>276</v>
      </c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</row>
    <row r="154" spans="1:63" ht="30" customHeight="1">
      <c r="A154" s="51">
        <v>153</v>
      </c>
      <c r="B154" s="52" t="s">
        <v>130</v>
      </c>
      <c r="C154" s="51">
        <f t="shared" si="30"/>
        <v>2021</v>
      </c>
      <c r="D154" s="53">
        <v>44468</v>
      </c>
      <c r="E154" s="52" t="s">
        <v>350</v>
      </c>
      <c r="F154" s="51" t="s">
        <v>48</v>
      </c>
      <c r="G154" s="51" t="s">
        <v>72</v>
      </c>
      <c r="H154" s="51">
        <v>7</v>
      </c>
      <c r="I154" s="51">
        <v>5</v>
      </c>
      <c r="J154" s="51"/>
      <c r="K154" s="51" t="str">
        <f>IF(H154=I154,"完结",IF(H154&gt;I154,"下载中"))</f>
        <v>下载中</v>
      </c>
      <c r="L154" s="51">
        <v>4</v>
      </c>
      <c r="M154" s="51"/>
      <c r="N154" s="51"/>
      <c r="O154" s="51" t="str">
        <f t="shared" si="31"/>
        <v>未</v>
      </c>
      <c r="P154" s="51"/>
      <c r="Q154" s="51"/>
      <c r="R154" s="51"/>
      <c r="S154" s="51"/>
      <c r="T154" s="51"/>
      <c r="U154" s="59"/>
      <c r="V154" s="51"/>
      <c r="W154" s="51"/>
      <c r="X154" s="51"/>
      <c r="Y154" s="51"/>
      <c r="Z154" s="51"/>
      <c r="AA154" s="51"/>
      <c r="AB154" s="51"/>
      <c r="AC154" s="51"/>
      <c r="AD154" s="51"/>
      <c r="AE154" s="51" t="e">
        <f t="shared" si="32"/>
        <v>#N/A</v>
      </c>
      <c r="AF154" s="51" t="e">
        <f t="shared" si="33"/>
        <v>#N/A</v>
      </c>
      <c r="AG154" s="51" t="e">
        <f t="shared" si="34"/>
        <v>#N/A</v>
      </c>
      <c r="AH154" s="51" t="e">
        <f t="shared" si="35"/>
        <v>#N/A</v>
      </c>
      <c r="AI154" s="51"/>
      <c r="AJ154" s="51"/>
      <c r="AK154" s="51" t="s">
        <v>276</v>
      </c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</row>
    <row r="155" spans="1:63" ht="30" customHeight="1">
      <c r="A155" s="54">
        <v>154</v>
      </c>
      <c r="B155" s="42" t="s">
        <v>77</v>
      </c>
      <c r="C155" s="54">
        <f t="shared" si="30"/>
        <v>2021</v>
      </c>
      <c r="D155" s="55">
        <v>44470</v>
      </c>
      <c r="E155" s="42" t="s">
        <v>351</v>
      </c>
      <c r="F155" s="54" t="s">
        <v>81</v>
      </c>
      <c r="G155" s="54" t="s">
        <v>47</v>
      </c>
      <c r="H155" s="54">
        <v>10</v>
      </c>
      <c r="I155" s="54">
        <v>10</v>
      </c>
      <c r="J155" s="54"/>
      <c r="K155" s="54" t="str">
        <f t="shared" si="37"/>
        <v>完结</v>
      </c>
      <c r="L155" s="54">
        <v>10</v>
      </c>
      <c r="M155" s="54"/>
      <c r="N155" s="54"/>
      <c r="O155" s="54" t="str">
        <f t="shared" si="31"/>
        <v>完</v>
      </c>
      <c r="P155" s="54"/>
      <c r="Q155" s="54"/>
      <c r="R155" s="54"/>
      <c r="S155" s="54"/>
      <c r="T155" s="54"/>
      <c r="U155" s="59"/>
      <c r="V155" s="54"/>
      <c r="W155" s="54"/>
      <c r="X155" s="54"/>
      <c r="Y155" s="54"/>
      <c r="Z155" s="54"/>
      <c r="AA155" s="54"/>
      <c r="AB155" s="54"/>
      <c r="AC155" s="54"/>
      <c r="AD155" s="54"/>
      <c r="AE155" s="54" t="e">
        <f t="shared" si="32"/>
        <v>#N/A</v>
      </c>
      <c r="AF155" s="54" t="e">
        <f t="shared" si="33"/>
        <v>#N/A</v>
      </c>
      <c r="AG155" s="54" t="e">
        <f t="shared" si="34"/>
        <v>#N/A</v>
      </c>
      <c r="AH155" s="54" t="e">
        <f t="shared" si="35"/>
        <v>#N/A</v>
      </c>
      <c r="AI155" s="54"/>
      <c r="AJ155" s="54"/>
      <c r="AK155" s="54" t="s">
        <v>44</v>
      </c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4"/>
      <c r="BE155" s="54"/>
      <c r="BF155" s="54"/>
      <c r="BG155" s="54"/>
      <c r="BH155" s="54"/>
      <c r="BI155" s="54"/>
      <c r="BJ155" s="54"/>
      <c r="BK155" s="54"/>
    </row>
    <row r="156" spans="1:63" ht="30" customHeight="1">
      <c r="A156" s="51">
        <v>155</v>
      </c>
      <c r="B156" s="52" t="s">
        <v>35</v>
      </c>
      <c r="C156" s="51">
        <f t="shared" si="30"/>
        <v>2021</v>
      </c>
      <c r="D156" s="53">
        <v>44477</v>
      </c>
      <c r="E156" s="52" t="s">
        <v>352</v>
      </c>
      <c r="F156" s="51" t="s">
        <v>48</v>
      </c>
      <c r="G156" s="51" t="s">
        <v>47</v>
      </c>
      <c r="H156" s="51">
        <v>6</v>
      </c>
      <c r="I156" s="51">
        <v>6</v>
      </c>
      <c r="J156" s="51"/>
      <c r="K156" s="51" t="str">
        <f t="shared" si="37"/>
        <v>完结</v>
      </c>
      <c r="L156" s="51">
        <v>6</v>
      </c>
      <c r="M156" s="51"/>
      <c r="N156" s="51"/>
      <c r="O156" s="51" t="str">
        <f t="shared" si="31"/>
        <v>完</v>
      </c>
      <c r="P156" s="51"/>
      <c r="Q156" s="51"/>
      <c r="R156" s="51"/>
      <c r="S156" s="51"/>
      <c r="T156" s="51"/>
      <c r="U156" s="59"/>
      <c r="V156" s="51"/>
      <c r="W156" s="51"/>
      <c r="X156" s="51"/>
      <c r="Y156" s="51"/>
      <c r="Z156" s="51"/>
      <c r="AA156" s="51"/>
      <c r="AB156" s="51"/>
      <c r="AC156" s="51"/>
      <c r="AD156" s="51"/>
      <c r="AE156" s="51" t="e">
        <f t="shared" si="32"/>
        <v>#N/A</v>
      </c>
      <c r="AF156" s="51" t="e">
        <f t="shared" si="33"/>
        <v>#N/A</v>
      </c>
      <c r="AG156" s="51" t="e">
        <f t="shared" si="34"/>
        <v>#N/A</v>
      </c>
      <c r="AH156" s="51" t="e">
        <f t="shared" si="35"/>
        <v>#N/A</v>
      </c>
      <c r="AI156" s="51"/>
      <c r="AJ156" s="51"/>
      <c r="AK156" s="51" t="s">
        <v>44</v>
      </c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</row>
    <row r="157" spans="1:63" ht="30" customHeight="1">
      <c r="A157" s="45">
        <v>156</v>
      </c>
      <c r="B157" s="46" t="s">
        <v>35</v>
      </c>
      <c r="C157" s="45">
        <f t="shared" si="30"/>
        <v>2021</v>
      </c>
      <c r="D157" s="47">
        <v>44498</v>
      </c>
      <c r="E157" s="46" t="s">
        <v>353</v>
      </c>
      <c r="F157" s="45" t="s">
        <v>37</v>
      </c>
      <c r="G157" s="45" t="s">
        <v>47</v>
      </c>
      <c r="H157" s="45">
        <v>7</v>
      </c>
      <c r="I157" s="45">
        <v>3</v>
      </c>
      <c r="J157" s="45"/>
      <c r="K157" s="45" t="str">
        <f>IF(H157=I157,"完结",IF(H157&gt;I157,"下载中"))</f>
        <v>下载中</v>
      </c>
      <c r="L157" s="45">
        <v>3</v>
      </c>
      <c r="M157" s="45"/>
      <c r="N157" s="45"/>
      <c r="O157" s="45" t="str">
        <f t="shared" si="31"/>
        <v>未</v>
      </c>
      <c r="P157" s="45"/>
      <c r="Q157" s="45"/>
      <c r="R157" s="45"/>
      <c r="S157" s="45"/>
      <c r="T157" s="45"/>
      <c r="U157" s="58"/>
      <c r="V157" s="45"/>
      <c r="W157" s="45"/>
      <c r="X157" s="45"/>
      <c r="Y157" s="45"/>
      <c r="Z157" s="45"/>
      <c r="AA157" s="45"/>
      <c r="AB157" s="45"/>
      <c r="AC157" s="45"/>
      <c r="AD157" s="45"/>
      <c r="AE157" s="45" t="e">
        <f t="shared" si="32"/>
        <v>#N/A</v>
      </c>
      <c r="AF157" s="45" t="e">
        <f t="shared" si="33"/>
        <v>#N/A</v>
      </c>
      <c r="AG157" s="45" t="e">
        <f t="shared" si="34"/>
        <v>#N/A</v>
      </c>
      <c r="AH157" s="45" t="e">
        <f t="shared" si="35"/>
        <v>#N/A</v>
      </c>
      <c r="AI157" s="45"/>
      <c r="AJ157" s="45"/>
      <c r="AK157" s="45" t="s">
        <v>44</v>
      </c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45"/>
      <c r="BE157" s="45"/>
      <c r="BF157" s="45"/>
      <c r="BG157" s="45"/>
      <c r="BH157" s="45"/>
      <c r="BI157" s="45"/>
      <c r="BJ157" s="45"/>
      <c r="BK157" s="45"/>
    </row>
    <row r="158" spans="1:63" ht="30" customHeight="1">
      <c r="A158" s="51">
        <v>157</v>
      </c>
      <c r="B158" s="52" t="s">
        <v>73</v>
      </c>
      <c r="C158" s="51">
        <f t="shared" si="30"/>
        <v>2021</v>
      </c>
      <c r="D158" s="53">
        <v>44502</v>
      </c>
      <c r="E158" s="52" t="s">
        <v>175</v>
      </c>
      <c r="F158" s="51" t="s">
        <v>37</v>
      </c>
      <c r="G158" s="51" t="s">
        <v>47</v>
      </c>
      <c r="H158" s="51">
        <v>4</v>
      </c>
      <c r="I158" s="51">
        <v>4</v>
      </c>
      <c r="J158" s="51"/>
      <c r="K158" s="51" t="str">
        <f t="shared" si="37"/>
        <v>完结</v>
      </c>
      <c r="L158" s="51">
        <v>4</v>
      </c>
      <c r="M158" s="51"/>
      <c r="N158" s="51"/>
      <c r="O158" s="51" t="str">
        <f t="shared" si="31"/>
        <v>完</v>
      </c>
      <c r="P158" s="51" t="s">
        <v>166</v>
      </c>
      <c r="Q158" s="51" t="s">
        <v>173</v>
      </c>
      <c r="R158" s="51" t="s">
        <v>173</v>
      </c>
      <c r="S158" s="51" t="s">
        <v>43</v>
      </c>
      <c r="T158" s="51"/>
      <c r="U158" s="59"/>
      <c r="V158" s="51"/>
      <c r="W158" s="51"/>
      <c r="X158" s="51"/>
      <c r="Y158" s="51"/>
      <c r="Z158" s="51"/>
      <c r="AA158" s="51"/>
      <c r="AB158" s="51"/>
      <c r="AC158" s="51"/>
      <c r="AD158" s="51"/>
      <c r="AE158" s="51" t="str">
        <f t="shared" si="32"/>
        <v>国版</v>
      </c>
      <c r="AF158" s="51" t="str">
        <f t="shared" si="33"/>
        <v>2025/5/28</v>
      </c>
      <c r="AG158" s="51" t="str">
        <f t="shared" si="34"/>
        <v>2025/5/28</v>
      </c>
      <c r="AH158" s="51" t="str">
        <f t="shared" si="35"/>
        <v>已发证</v>
      </c>
      <c r="AI158" s="51"/>
      <c r="AJ158" s="51"/>
      <c r="AK158" s="51" t="s">
        <v>325</v>
      </c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</row>
    <row r="159" spans="1:63" ht="30" customHeight="1">
      <c r="A159" s="48">
        <v>158</v>
      </c>
      <c r="B159" s="49" t="s">
        <v>73</v>
      </c>
      <c r="C159" s="48">
        <f t="shared" si="30"/>
        <v>2021</v>
      </c>
      <c r="D159" s="50">
        <v>44513</v>
      </c>
      <c r="E159" s="49" t="s">
        <v>177</v>
      </c>
      <c r="F159" s="48" t="s">
        <v>37</v>
      </c>
      <c r="G159" s="48" t="s">
        <v>47</v>
      </c>
      <c r="H159" s="48">
        <v>4</v>
      </c>
      <c r="I159" s="48">
        <v>4</v>
      </c>
      <c r="J159" s="48"/>
      <c r="K159" s="48" t="str">
        <f t="shared" si="37"/>
        <v>完结</v>
      </c>
      <c r="L159" s="48">
        <v>4</v>
      </c>
      <c r="M159" s="48"/>
      <c r="N159" s="48"/>
      <c r="O159" s="48" t="str">
        <f t="shared" si="31"/>
        <v>完</v>
      </c>
      <c r="P159" s="48" t="s">
        <v>166</v>
      </c>
      <c r="Q159" s="48" t="s">
        <v>173</v>
      </c>
      <c r="R159" s="48" t="s">
        <v>173</v>
      </c>
      <c r="S159" s="48" t="s">
        <v>43</v>
      </c>
      <c r="T159" s="48"/>
      <c r="U159" s="59"/>
      <c r="V159" s="48"/>
      <c r="W159" s="48"/>
      <c r="X159" s="48"/>
      <c r="Y159" s="48"/>
      <c r="Z159" s="48"/>
      <c r="AA159" s="48"/>
      <c r="AB159" s="48"/>
      <c r="AC159" s="48"/>
      <c r="AD159" s="48"/>
      <c r="AE159" s="48" t="str">
        <f t="shared" si="32"/>
        <v>国版</v>
      </c>
      <c r="AF159" s="48" t="str">
        <f t="shared" si="33"/>
        <v>2025/5/28</v>
      </c>
      <c r="AG159" s="48" t="str">
        <f t="shared" si="34"/>
        <v>2025/5/28</v>
      </c>
      <c r="AH159" s="48" t="str">
        <f t="shared" si="35"/>
        <v>已发证</v>
      </c>
      <c r="AI159" s="48"/>
      <c r="AJ159" s="48"/>
      <c r="AK159" s="48" t="s">
        <v>325</v>
      </c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</row>
    <row r="160" spans="1:63" ht="30" customHeight="1">
      <c r="A160" s="51">
        <v>159</v>
      </c>
      <c r="B160" s="52" t="s">
        <v>35</v>
      </c>
      <c r="C160" s="51">
        <f t="shared" si="30"/>
        <v>2021</v>
      </c>
      <c r="D160" s="53">
        <v>44514</v>
      </c>
      <c r="E160" s="52" t="s">
        <v>354</v>
      </c>
      <c r="F160" s="51" t="s">
        <v>54</v>
      </c>
      <c r="G160" s="51" t="s">
        <v>88</v>
      </c>
      <c r="H160" s="51">
        <v>8</v>
      </c>
      <c r="I160" s="51">
        <v>8</v>
      </c>
      <c r="J160" s="51"/>
      <c r="K160" s="51" t="str">
        <f t="shared" si="37"/>
        <v>完结</v>
      </c>
      <c r="L160" s="51">
        <v>6</v>
      </c>
      <c r="M160" s="51"/>
      <c r="N160" s="51"/>
      <c r="O160" s="51" t="str">
        <f t="shared" si="31"/>
        <v>未</v>
      </c>
      <c r="P160" s="51"/>
      <c r="Q160" s="51"/>
      <c r="R160" s="51"/>
      <c r="S160" s="51"/>
      <c r="T160" s="51"/>
      <c r="U160" s="59"/>
      <c r="V160" s="51"/>
      <c r="W160" s="51"/>
      <c r="X160" s="51"/>
      <c r="Y160" s="51"/>
      <c r="Z160" s="51"/>
      <c r="AA160" s="51"/>
      <c r="AB160" s="51"/>
      <c r="AC160" s="51"/>
      <c r="AD160" s="51"/>
      <c r="AE160" s="51" t="e">
        <f t="shared" si="32"/>
        <v>#N/A</v>
      </c>
      <c r="AF160" s="51" t="e">
        <f t="shared" si="33"/>
        <v>#N/A</v>
      </c>
      <c r="AG160" s="51" t="e">
        <f t="shared" si="34"/>
        <v>#N/A</v>
      </c>
      <c r="AH160" s="51" t="e">
        <f t="shared" si="35"/>
        <v>#N/A</v>
      </c>
      <c r="AI160" s="51"/>
      <c r="AJ160" s="51"/>
      <c r="AK160" s="51" t="s">
        <v>191</v>
      </c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</row>
    <row r="161" spans="1:63" ht="30" customHeight="1">
      <c r="A161" s="54">
        <v>160</v>
      </c>
      <c r="B161" s="42" t="s">
        <v>141</v>
      </c>
      <c r="C161" s="54">
        <f t="shared" si="30"/>
        <v>2021</v>
      </c>
      <c r="D161" s="55">
        <v>44532</v>
      </c>
      <c r="E161" s="42" t="s">
        <v>355</v>
      </c>
      <c r="F161" s="54" t="s">
        <v>107</v>
      </c>
      <c r="G161" s="54" t="s">
        <v>47</v>
      </c>
      <c r="H161" s="54">
        <v>6</v>
      </c>
      <c r="I161" s="54">
        <v>3</v>
      </c>
      <c r="J161" s="54"/>
      <c r="K161" s="54" t="str">
        <f>IF(H161=I161,"完结",IF(H161&gt;I161,"下载中"))</f>
        <v>下载中</v>
      </c>
      <c r="L161" s="54">
        <v>0</v>
      </c>
      <c r="M161" s="54"/>
      <c r="N161" s="54"/>
      <c r="O161" s="54" t="str">
        <f t="shared" si="31"/>
        <v>未</v>
      </c>
      <c r="P161" s="54"/>
      <c r="Q161" s="54"/>
      <c r="R161" s="54"/>
      <c r="S161" s="54"/>
      <c r="T161" s="54"/>
      <c r="U161" s="59"/>
      <c r="V161" s="54"/>
      <c r="W161" s="54"/>
      <c r="X161" s="54"/>
      <c r="Y161" s="54"/>
      <c r="Z161" s="54"/>
      <c r="AA161" s="54"/>
      <c r="AB161" s="54"/>
      <c r="AC161" s="54"/>
      <c r="AD161" s="54"/>
      <c r="AE161" s="54" t="e">
        <f t="shared" si="32"/>
        <v>#N/A</v>
      </c>
      <c r="AF161" s="54" t="e">
        <f t="shared" si="33"/>
        <v>#N/A</v>
      </c>
      <c r="AG161" s="54" t="e">
        <f t="shared" si="34"/>
        <v>#N/A</v>
      </c>
      <c r="AH161" s="54" t="e">
        <f t="shared" si="35"/>
        <v>#N/A</v>
      </c>
      <c r="AI161" s="54"/>
      <c r="AJ161" s="54"/>
      <c r="AK161" s="54" t="s">
        <v>330</v>
      </c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</row>
    <row r="162" spans="1:63" ht="30" customHeight="1">
      <c r="A162" s="51">
        <v>161</v>
      </c>
      <c r="B162" s="52" t="s">
        <v>49</v>
      </c>
      <c r="C162" s="51">
        <f t="shared" si="30"/>
        <v>2021</v>
      </c>
      <c r="D162" s="53">
        <v>44560</v>
      </c>
      <c r="E162" s="52" t="s">
        <v>356</v>
      </c>
      <c r="F162" s="51" t="s">
        <v>81</v>
      </c>
      <c r="G162" s="51" t="s">
        <v>47</v>
      </c>
      <c r="H162" s="51">
        <v>4</v>
      </c>
      <c r="I162" s="51">
        <v>4</v>
      </c>
      <c r="J162" s="51"/>
      <c r="K162" s="51" t="str">
        <f t="shared" si="37"/>
        <v>完结</v>
      </c>
      <c r="L162" s="51">
        <v>4</v>
      </c>
      <c r="M162" s="51"/>
      <c r="N162" s="51"/>
      <c r="O162" s="51" t="str">
        <f t="shared" ref="O162:O197" si="38">IF(H162=L162,"完",IF(H162&gt;L162,"未"))</f>
        <v>完</v>
      </c>
      <c r="P162" s="51"/>
      <c r="Q162" s="51"/>
      <c r="R162" s="51"/>
      <c r="S162" s="51"/>
      <c r="T162" s="51"/>
      <c r="U162" s="59"/>
      <c r="V162" s="51"/>
      <c r="W162" s="51"/>
      <c r="X162" s="51"/>
      <c r="Y162" s="51"/>
      <c r="Z162" s="51"/>
      <c r="AA162" s="51"/>
      <c r="AB162" s="51"/>
      <c r="AC162" s="51"/>
      <c r="AD162" s="51"/>
      <c r="AE162" s="51" t="e">
        <f t="shared" si="32"/>
        <v>#N/A</v>
      </c>
      <c r="AF162" s="51" t="e">
        <f t="shared" si="33"/>
        <v>#N/A</v>
      </c>
      <c r="AG162" s="51" t="e">
        <f t="shared" si="34"/>
        <v>#N/A</v>
      </c>
      <c r="AH162" s="51" t="e">
        <f t="shared" si="35"/>
        <v>#N/A</v>
      </c>
      <c r="AI162" s="51"/>
      <c r="AJ162" s="51"/>
      <c r="AK162" s="51" t="s">
        <v>236</v>
      </c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</row>
    <row r="163" spans="1:63" ht="30" customHeight="1">
      <c r="A163" s="45">
        <v>162</v>
      </c>
      <c r="B163" s="46" t="s">
        <v>124</v>
      </c>
      <c r="C163" s="45">
        <f t="shared" si="30"/>
        <v>2022</v>
      </c>
      <c r="D163" s="47">
        <v>44580</v>
      </c>
      <c r="E163" s="46" t="s">
        <v>357</v>
      </c>
      <c r="F163" s="45" t="s">
        <v>48</v>
      </c>
      <c r="G163" s="45" t="s">
        <v>47</v>
      </c>
      <c r="H163" s="45">
        <v>4</v>
      </c>
      <c r="I163" s="45">
        <v>4</v>
      </c>
      <c r="J163" s="45"/>
      <c r="K163" s="45" t="str">
        <f t="shared" si="37"/>
        <v>完结</v>
      </c>
      <c r="L163" s="45">
        <v>4</v>
      </c>
      <c r="M163" s="45"/>
      <c r="N163" s="45"/>
      <c r="O163" s="45" t="str">
        <f t="shared" si="38"/>
        <v>完</v>
      </c>
      <c r="P163" s="45"/>
      <c r="Q163" s="45"/>
      <c r="R163" s="45"/>
      <c r="S163" s="45"/>
      <c r="T163" s="45"/>
      <c r="U163" s="58"/>
      <c r="V163" s="45"/>
      <c r="W163" s="45"/>
      <c r="X163" s="45"/>
      <c r="Y163" s="45"/>
      <c r="Z163" s="45"/>
      <c r="AA163" s="45"/>
      <c r="AB163" s="45"/>
      <c r="AC163" s="45"/>
      <c r="AD163" s="45"/>
      <c r="AE163" s="45" t="e">
        <f t="shared" si="32"/>
        <v>#N/A</v>
      </c>
      <c r="AF163" s="45" t="e">
        <f t="shared" si="33"/>
        <v>#N/A</v>
      </c>
      <c r="AG163" s="45" t="e">
        <f t="shared" si="34"/>
        <v>#N/A</v>
      </c>
      <c r="AH163" s="45" t="e">
        <f t="shared" si="35"/>
        <v>#N/A</v>
      </c>
      <c r="AI163" s="45"/>
      <c r="AJ163" s="45"/>
      <c r="AK163" s="45" t="s">
        <v>44</v>
      </c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45"/>
      <c r="BE163" s="45"/>
      <c r="BF163" s="45"/>
      <c r="BG163" s="45"/>
      <c r="BH163" s="45"/>
      <c r="BI163" s="45"/>
      <c r="BJ163" s="45"/>
      <c r="BK163" s="45"/>
    </row>
    <row r="164" spans="1:63" ht="30" customHeight="1">
      <c r="A164" s="51">
        <v>163</v>
      </c>
      <c r="B164" s="52" t="s">
        <v>110</v>
      </c>
      <c r="C164" s="51">
        <f t="shared" si="30"/>
        <v>2022</v>
      </c>
      <c r="D164" s="53">
        <v>44602</v>
      </c>
      <c r="E164" s="52" t="s">
        <v>358</v>
      </c>
      <c r="F164" s="51" t="s">
        <v>81</v>
      </c>
      <c r="G164" s="51" t="s">
        <v>47</v>
      </c>
      <c r="H164" s="51">
        <v>4</v>
      </c>
      <c r="I164" s="51">
        <v>4</v>
      </c>
      <c r="J164" s="51"/>
      <c r="K164" s="51" t="str">
        <f t="shared" si="37"/>
        <v>完结</v>
      </c>
      <c r="L164" s="51">
        <v>0</v>
      </c>
      <c r="M164" s="51"/>
      <c r="N164" s="51"/>
      <c r="O164" s="51" t="str">
        <f t="shared" si="38"/>
        <v>未</v>
      </c>
      <c r="P164" s="51"/>
      <c r="Q164" s="51"/>
      <c r="R164" s="51"/>
      <c r="S164" s="51"/>
      <c r="T164" s="51"/>
      <c r="U164" s="59"/>
      <c r="V164" s="51"/>
      <c r="W164" s="51"/>
      <c r="X164" s="51"/>
      <c r="Y164" s="51"/>
      <c r="Z164" s="51"/>
      <c r="AA164" s="51"/>
      <c r="AB164" s="51"/>
      <c r="AC164" s="51"/>
      <c r="AD164" s="51"/>
      <c r="AE164" s="51" t="e">
        <f t="shared" si="32"/>
        <v>#N/A</v>
      </c>
      <c r="AF164" s="51" t="e">
        <f t="shared" si="33"/>
        <v>#N/A</v>
      </c>
      <c r="AG164" s="51" t="e">
        <f t="shared" si="34"/>
        <v>#N/A</v>
      </c>
      <c r="AH164" s="51" t="e">
        <f t="shared" si="35"/>
        <v>#N/A</v>
      </c>
      <c r="AI164" s="51"/>
      <c r="AJ164" s="51"/>
      <c r="AK164" s="51" t="s">
        <v>359</v>
      </c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</row>
    <row r="165" spans="1:63" ht="30" customHeight="1">
      <c r="A165" s="48">
        <v>164</v>
      </c>
      <c r="B165" s="49" t="s">
        <v>124</v>
      </c>
      <c r="C165" s="48">
        <f t="shared" si="30"/>
        <v>2022</v>
      </c>
      <c r="D165" s="50">
        <v>44607</v>
      </c>
      <c r="E165" s="49" t="s">
        <v>360</v>
      </c>
      <c r="F165" s="48" t="s">
        <v>48</v>
      </c>
      <c r="G165" s="48" t="s">
        <v>47</v>
      </c>
      <c r="H165" s="48">
        <v>4</v>
      </c>
      <c r="I165" s="48">
        <v>4</v>
      </c>
      <c r="J165" s="48"/>
      <c r="K165" s="48" t="str">
        <f t="shared" si="37"/>
        <v>完结</v>
      </c>
      <c r="L165" s="48">
        <v>0</v>
      </c>
      <c r="M165" s="48"/>
      <c r="N165" s="48"/>
      <c r="O165" s="48" t="str">
        <f t="shared" si="38"/>
        <v>未</v>
      </c>
      <c r="P165" s="48"/>
      <c r="Q165" s="48"/>
      <c r="R165" s="48"/>
      <c r="S165" s="48"/>
      <c r="T165" s="48"/>
      <c r="U165" s="59"/>
      <c r="V165" s="48"/>
      <c r="W165" s="48"/>
      <c r="X165" s="48"/>
      <c r="Y165" s="48"/>
      <c r="Z165" s="48"/>
      <c r="AA165" s="48"/>
      <c r="AB165" s="48"/>
      <c r="AC165" s="48"/>
      <c r="AD165" s="48"/>
      <c r="AE165" s="48" t="e">
        <f t="shared" si="32"/>
        <v>#N/A</v>
      </c>
      <c r="AF165" s="48" t="e">
        <f t="shared" si="33"/>
        <v>#N/A</v>
      </c>
      <c r="AG165" s="48" t="e">
        <f t="shared" si="34"/>
        <v>#N/A</v>
      </c>
      <c r="AH165" s="48" t="e">
        <f t="shared" si="35"/>
        <v>#N/A</v>
      </c>
      <c r="AI165" s="48"/>
      <c r="AJ165" s="48"/>
      <c r="AK165" s="48" t="s">
        <v>276</v>
      </c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</row>
    <row r="166" spans="1:63" ht="30" customHeight="1">
      <c r="A166" s="51">
        <v>165</v>
      </c>
      <c r="B166" s="52" t="s">
        <v>77</v>
      </c>
      <c r="C166" s="51">
        <f t="shared" si="30"/>
        <v>2022</v>
      </c>
      <c r="D166" s="53">
        <v>44639</v>
      </c>
      <c r="E166" s="52" t="s">
        <v>361</v>
      </c>
      <c r="F166" s="51" t="s">
        <v>37</v>
      </c>
      <c r="G166" s="51" t="s">
        <v>88</v>
      </c>
      <c r="H166" s="51">
        <v>8</v>
      </c>
      <c r="I166" s="51">
        <v>3</v>
      </c>
      <c r="J166" s="51"/>
      <c r="K166" s="51" t="str">
        <f>IF(H166=I166,"完结",IF(H166&gt;I166,"下载中"))</f>
        <v>下载中</v>
      </c>
      <c r="L166" s="51">
        <v>0</v>
      </c>
      <c r="M166" s="51"/>
      <c r="N166" s="51"/>
      <c r="O166" s="51" t="str">
        <f t="shared" si="38"/>
        <v>未</v>
      </c>
      <c r="P166" s="51"/>
      <c r="Q166" s="51"/>
      <c r="R166" s="51"/>
      <c r="S166" s="51"/>
      <c r="T166" s="51"/>
      <c r="U166" s="59"/>
      <c r="V166" s="51"/>
      <c r="W166" s="51"/>
      <c r="X166" s="51"/>
      <c r="Y166" s="51"/>
      <c r="Z166" s="51"/>
      <c r="AA166" s="51"/>
      <c r="AB166" s="51"/>
      <c r="AC166" s="51"/>
      <c r="AD166" s="51"/>
      <c r="AE166" s="51" t="e">
        <f t="shared" si="32"/>
        <v>#N/A</v>
      </c>
      <c r="AF166" s="51" t="e">
        <f t="shared" si="33"/>
        <v>#N/A</v>
      </c>
      <c r="AG166" s="51" t="e">
        <f t="shared" si="34"/>
        <v>#N/A</v>
      </c>
      <c r="AH166" s="51" t="e">
        <f t="shared" si="35"/>
        <v>#N/A</v>
      </c>
      <c r="AI166" s="51"/>
      <c r="AJ166" s="51"/>
      <c r="AK166" s="51" t="s">
        <v>191</v>
      </c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</row>
    <row r="167" spans="1:63" ht="30" customHeight="1">
      <c r="A167" s="54">
        <v>166</v>
      </c>
      <c r="B167" s="42" t="s">
        <v>141</v>
      </c>
      <c r="C167" s="54">
        <f t="shared" si="30"/>
        <v>2022</v>
      </c>
      <c r="D167" s="55">
        <v>44660</v>
      </c>
      <c r="E167" s="42" t="s">
        <v>362</v>
      </c>
      <c r="F167" s="54" t="s">
        <v>363</v>
      </c>
      <c r="G167" s="54" t="s">
        <v>47</v>
      </c>
      <c r="H167" s="54">
        <v>5</v>
      </c>
      <c r="I167" s="54">
        <v>5</v>
      </c>
      <c r="J167" s="54"/>
      <c r="K167" s="54" t="str">
        <f t="shared" si="37"/>
        <v>完结</v>
      </c>
      <c r="L167" s="54">
        <v>0</v>
      </c>
      <c r="M167" s="54"/>
      <c r="N167" s="54"/>
      <c r="O167" s="54" t="str">
        <f t="shared" si="38"/>
        <v>未</v>
      </c>
      <c r="P167" s="54"/>
      <c r="Q167" s="54"/>
      <c r="R167" s="54"/>
      <c r="S167" s="54"/>
      <c r="T167" s="54"/>
      <c r="U167" s="59"/>
      <c r="V167" s="54" t="s">
        <v>363</v>
      </c>
      <c r="W167" s="54"/>
      <c r="X167" s="54"/>
      <c r="Y167" s="54"/>
      <c r="Z167" s="54"/>
      <c r="AA167" s="54"/>
      <c r="AB167" s="54"/>
      <c r="AC167" s="54"/>
      <c r="AD167" s="54"/>
      <c r="AE167" s="54" t="e">
        <f t="shared" si="32"/>
        <v>#N/A</v>
      </c>
      <c r="AF167" s="54" t="e">
        <f t="shared" si="33"/>
        <v>#N/A</v>
      </c>
      <c r="AG167" s="54" t="e">
        <f t="shared" si="34"/>
        <v>#N/A</v>
      </c>
      <c r="AH167" s="54" t="e">
        <f t="shared" si="35"/>
        <v>#N/A</v>
      </c>
      <c r="AI167" s="54"/>
      <c r="AJ167" s="54"/>
      <c r="AK167" s="54" t="s">
        <v>359</v>
      </c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</row>
    <row r="168" spans="1:63" ht="30" customHeight="1">
      <c r="A168" s="51">
        <v>167</v>
      </c>
      <c r="B168" s="52" t="s">
        <v>110</v>
      </c>
      <c r="C168" s="51">
        <f t="shared" si="30"/>
        <v>2022</v>
      </c>
      <c r="D168" s="53">
        <v>44670</v>
      </c>
      <c r="E168" s="52" t="s">
        <v>364</v>
      </c>
      <c r="F168" s="51" t="s">
        <v>37</v>
      </c>
      <c r="G168" s="51" t="s">
        <v>47</v>
      </c>
      <c r="H168" s="51">
        <v>7</v>
      </c>
      <c r="I168" s="51">
        <v>7</v>
      </c>
      <c r="J168" s="51"/>
      <c r="K168" s="51" t="str">
        <f t="shared" si="37"/>
        <v>完结</v>
      </c>
      <c r="L168" s="51">
        <v>5</v>
      </c>
      <c r="M168" s="51"/>
      <c r="N168" s="51"/>
      <c r="O168" s="51" t="str">
        <f t="shared" si="38"/>
        <v>未</v>
      </c>
      <c r="P168" s="51"/>
      <c r="Q168" s="51"/>
      <c r="R168" s="51"/>
      <c r="S168" s="51"/>
      <c r="T168" s="51"/>
      <c r="U168" s="59"/>
      <c r="V168" s="51"/>
      <c r="W168" s="51"/>
      <c r="X168" s="51"/>
      <c r="Y168" s="51"/>
      <c r="Z168" s="51"/>
      <c r="AA168" s="51"/>
      <c r="AB168" s="51"/>
      <c r="AC168" s="51"/>
      <c r="AD168" s="51"/>
      <c r="AE168" s="51" t="e">
        <f t="shared" si="32"/>
        <v>#N/A</v>
      </c>
      <c r="AF168" s="51" t="e">
        <f t="shared" si="33"/>
        <v>#N/A</v>
      </c>
      <c r="AG168" s="51" t="e">
        <f t="shared" si="34"/>
        <v>#N/A</v>
      </c>
      <c r="AH168" s="51" t="e">
        <f t="shared" si="35"/>
        <v>#N/A</v>
      </c>
      <c r="AI168" s="51"/>
      <c r="AJ168" s="51"/>
      <c r="AK168" s="51" t="s">
        <v>44</v>
      </c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</row>
    <row r="169" spans="1:63" ht="30" customHeight="1">
      <c r="A169" s="45">
        <v>168</v>
      </c>
      <c r="B169" s="46" t="s">
        <v>110</v>
      </c>
      <c r="C169" s="45">
        <f t="shared" si="30"/>
        <v>2022</v>
      </c>
      <c r="D169" s="47">
        <v>44694</v>
      </c>
      <c r="E169" s="46" t="s">
        <v>365</v>
      </c>
      <c r="F169" s="45" t="s">
        <v>48</v>
      </c>
      <c r="G169" s="45" t="s">
        <v>47</v>
      </c>
      <c r="H169" s="45">
        <v>6</v>
      </c>
      <c r="I169" s="45">
        <v>6</v>
      </c>
      <c r="J169" s="45"/>
      <c r="K169" s="45" t="str">
        <f t="shared" si="37"/>
        <v>完结</v>
      </c>
      <c r="L169" s="45">
        <v>6</v>
      </c>
      <c r="M169" s="45"/>
      <c r="N169" s="45"/>
      <c r="O169" s="45" t="str">
        <f t="shared" si="38"/>
        <v>完</v>
      </c>
      <c r="P169" s="45"/>
      <c r="Q169" s="45"/>
      <c r="R169" s="45"/>
      <c r="S169" s="45"/>
      <c r="T169" s="45"/>
      <c r="U169" s="58"/>
      <c r="V169" s="45"/>
      <c r="W169" s="45"/>
      <c r="X169" s="45"/>
      <c r="Y169" s="45"/>
      <c r="Z169" s="45"/>
      <c r="AA169" s="45"/>
      <c r="AB169" s="45"/>
      <c r="AC169" s="45"/>
      <c r="AD169" s="45"/>
      <c r="AE169" s="45" t="e">
        <f t="shared" si="32"/>
        <v>#N/A</v>
      </c>
      <c r="AF169" s="45" t="e">
        <f t="shared" si="33"/>
        <v>#N/A</v>
      </c>
      <c r="AG169" s="45" t="e">
        <f t="shared" si="34"/>
        <v>#N/A</v>
      </c>
      <c r="AH169" s="45" t="e">
        <f t="shared" si="35"/>
        <v>#N/A</v>
      </c>
      <c r="AI169" s="45"/>
      <c r="AJ169" s="45"/>
      <c r="AK169" s="45" t="s">
        <v>44</v>
      </c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</row>
    <row r="170" spans="1:63" ht="30" customHeight="1">
      <c r="A170" s="51">
        <v>169</v>
      </c>
      <c r="B170" s="52" t="s">
        <v>141</v>
      </c>
      <c r="C170" s="51">
        <f t="shared" si="30"/>
        <v>2022</v>
      </c>
      <c r="D170" s="53">
        <v>44711</v>
      </c>
      <c r="E170" s="52" t="s">
        <v>366</v>
      </c>
      <c r="F170" s="51" t="s">
        <v>54</v>
      </c>
      <c r="G170" s="51" t="s">
        <v>115</v>
      </c>
      <c r="H170" s="51">
        <v>10</v>
      </c>
      <c r="I170" s="51">
        <v>10</v>
      </c>
      <c r="J170" s="51"/>
      <c r="K170" s="51" t="str">
        <f t="shared" si="37"/>
        <v>完结</v>
      </c>
      <c r="L170" s="51">
        <v>10</v>
      </c>
      <c r="M170" s="51"/>
      <c r="N170" s="51"/>
      <c r="O170" s="51" t="str">
        <f t="shared" si="38"/>
        <v>完</v>
      </c>
      <c r="P170" s="51"/>
      <c r="Q170" s="51"/>
      <c r="R170" s="51"/>
      <c r="S170" s="51"/>
      <c r="T170" s="51"/>
      <c r="U170" s="59"/>
      <c r="V170" s="51"/>
      <c r="W170" s="51"/>
      <c r="X170" s="51"/>
      <c r="Y170" s="51"/>
      <c r="Z170" s="51"/>
      <c r="AA170" s="51"/>
      <c r="AB170" s="51"/>
      <c r="AC170" s="51"/>
      <c r="AD170" s="51"/>
      <c r="AE170" s="51" t="e">
        <f t="shared" si="32"/>
        <v>#N/A</v>
      </c>
      <c r="AF170" s="51" t="e">
        <f t="shared" si="33"/>
        <v>#N/A</v>
      </c>
      <c r="AG170" s="51" t="e">
        <f t="shared" si="34"/>
        <v>#N/A</v>
      </c>
      <c r="AH170" s="51" t="e">
        <f t="shared" si="35"/>
        <v>#N/A</v>
      </c>
      <c r="AI170" s="51"/>
      <c r="AJ170" s="51"/>
      <c r="AK170" s="51" t="s">
        <v>330</v>
      </c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</row>
    <row r="171" spans="1:63" ht="30" customHeight="1">
      <c r="A171" s="48">
        <v>170</v>
      </c>
      <c r="B171" s="49" t="s">
        <v>141</v>
      </c>
      <c r="C171" s="48">
        <f t="shared" si="30"/>
        <v>2022</v>
      </c>
      <c r="D171" s="50">
        <v>44716</v>
      </c>
      <c r="E171" s="49" t="s">
        <v>367</v>
      </c>
      <c r="F171" s="48" t="s">
        <v>54</v>
      </c>
      <c r="G171" s="48" t="s">
        <v>63</v>
      </c>
      <c r="H171" s="48">
        <v>10</v>
      </c>
      <c r="I171" s="48">
        <v>10</v>
      </c>
      <c r="J171" s="48"/>
      <c r="K171" s="48" t="str">
        <f t="shared" si="37"/>
        <v>完结</v>
      </c>
      <c r="L171" s="48">
        <v>9</v>
      </c>
      <c r="M171" s="48"/>
      <c r="N171" s="48"/>
      <c r="O171" s="48" t="str">
        <f t="shared" si="38"/>
        <v>未</v>
      </c>
      <c r="P171" s="48"/>
      <c r="Q171" s="48"/>
      <c r="R171" s="48"/>
      <c r="S171" s="48"/>
      <c r="T171" s="48"/>
      <c r="U171" s="59"/>
      <c r="V171" s="48"/>
      <c r="W171" s="48"/>
      <c r="X171" s="48"/>
      <c r="Y171" s="48"/>
      <c r="Z171" s="48"/>
      <c r="AA171" s="48"/>
      <c r="AB171" s="48"/>
      <c r="AC171" s="48"/>
      <c r="AD171" s="48"/>
      <c r="AE171" s="48" t="e">
        <f t="shared" si="32"/>
        <v>#N/A</v>
      </c>
      <c r="AF171" s="48" t="e">
        <f t="shared" si="33"/>
        <v>#N/A</v>
      </c>
      <c r="AG171" s="48" t="e">
        <f t="shared" si="34"/>
        <v>#N/A</v>
      </c>
      <c r="AH171" s="48" t="e">
        <f t="shared" si="35"/>
        <v>#N/A</v>
      </c>
      <c r="AI171" s="48"/>
      <c r="AJ171" s="48"/>
      <c r="AK171" s="48" t="s">
        <v>330</v>
      </c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</row>
    <row r="172" spans="1:63" ht="30" customHeight="1">
      <c r="A172" s="51">
        <v>171</v>
      </c>
      <c r="B172" s="52" t="s">
        <v>110</v>
      </c>
      <c r="C172" s="51">
        <f t="shared" si="30"/>
        <v>2022</v>
      </c>
      <c r="D172" s="53">
        <v>44721</v>
      </c>
      <c r="E172" s="52" t="s">
        <v>75</v>
      </c>
      <c r="F172" s="51" t="s">
        <v>48</v>
      </c>
      <c r="G172" s="51" t="s">
        <v>47</v>
      </c>
      <c r="H172" s="51">
        <v>6</v>
      </c>
      <c r="I172" s="51">
        <v>6</v>
      </c>
      <c r="J172" s="51"/>
      <c r="K172" s="51" t="str">
        <f t="shared" si="37"/>
        <v>完结</v>
      </c>
      <c r="L172" s="51">
        <v>5</v>
      </c>
      <c r="M172" s="51"/>
      <c r="N172" s="51"/>
      <c r="O172" s="51" t="str">
        <f t="shared" si="38"/>
        <v>未</v>
      </c>
      <c r="P172" s="51" t="s">
        <v>40</v>
      </c>
      <c r="Q172" s="51" t="s">
        <v>67</v>
      </c>
      <c r="R172" s="51">
        <v>0</v>
      </c>
      <c r="S172" s="51">
        <v>0</v>
      </c>
      <c r="T172" s="51"/>
      <c r="U172" s="59"/>
      <c r="V172" s="51"/>
      <c r="W172" s="51"/>
      <c r="X172" s="51"/>
      <c r="Y172" s="51"/>
      <c r="Z172" s="51"/>
      <c r="AA172" s="51"/>
      <c r="AB172" s="51"/>
      <c r="AC172" s="51"/>
      <c r="AD172" s="51"/>
      <c r="AE172" s="51" t="str">
        <f t="shared" si="32"/>
        <v>省版</v>
      </c>
      <c r="AF172" s="51" t="str">
        <f t="shared" si="33"/>
        <v>2025/6/5</v>
      </c>
      <c r="AG172" s="51">
        <f t="shared" si="34"/>
        <v>0</v>
      </c>
      <c r="AH172" s="51">
        <f t="shared" si="35"/>
        <v>0</v>
      </c>
      <c r="AI172" s="51"/>
      <c r="AJ172" s="51"/>
      <c r="AK172" s="51" t="s">
        <v>44</v>
      </c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</row>
    <row r="173" spans="1:63" ht="30" customHeight="1">
      <c r="A173" s="54">
        <v>172</v>
      </c>
      <c r="B173" s="42" t="s">
        <v>141</v>
      </c>
      <c r="C173" s="54">
        <f t="shared" si="30"/>
        <v>2022</v>
      </c>
      <c r="D173" s="55">
        <v>44722</v>
      </c>
      <c r="E173" s="42" t="s">
        <v>368</v>
      </c>
      <c r="F173" s="54" t="s">
        <v>54</v>
      </c>
      <c r="G173" s="54" t="s">
        <v>115</v>
      </c>
      <c r="H173" s="54">
        <v>11</v>
      </c>
      <c r="I173" s="54">
        <v>11</v>
      </c>
      <c r="J173" s="54"/>
      <c r="K173" s="54" t="str">
        <f t="shared" si="37"/>
        <v>完结</v>
      </c>
      <c r="L173" s="54">
        <v>11</v>
      </c>
      <c r="M173" s="54"/>
      <c r="N173" s="54"/>
      <c r="O173" s="54" t="str">
        <f t="shared" si="38"/>
        <v>完</v>
      </c>
      <c r="P173" s="54"/>
      <c r="Q173" s="54"/>
      <c r="R173" s="54"/>
      <c r="S173" s="54"/>
      <c r="T173" s="54"/>
      <c r="U173" s="59"/>
      <c r="V173" s="54"/>
      <c r="W173" s="54"/>
      <c r="X173" s="54"/>
      <c r="Y173" s="54"/>
      <c r="Z173" s="54"/>
      <c r="AA173" s="54"/>
      <c r="AB173" s="54"/>
      <c r="AC173" s="54"/>
      <c r="AD173" s="54"/>
      <c r="AE173" s="54" t="e">
        <f t="shared" si="32"/>
        <v>#N/A</v>
      </c>
      <c r="AF173" s="54" t="e">
        <f t="shared" si="33"/>
        <v>#N/A</v>
      </c>
      <c r="AG173" s="54" t="e">
        <f t="shared" si="34"/>
        <v>#N/A</v>
      </c>
      <c r="AH173" s="54" t="e">
        <f t="shared" si="35"/>
        <v>#N/A</v>
      </c>
      <c r="AI173" s="54"/>
      <c r="AJ173" s="54"/>
      <c r="AK173" s="54" t="s">
        <v>330</v>
      </c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4"/>
      <c r="BE173" s="54"/>
      <c r="BF173" s="54"/>
      <c r="BG173" s="54"/>
      <c r="BH173" s="54"/>
      <c r="BI173" s="54"/>
      <c r="BJ173" s="54"/>
      <c r="BK173" s="54"/>
    </row>
    <row r="174" spans="1:63" ht="30" customHeight="1">
      <c r="A174" s="51">
        <v>173</v>
      </c>
      <c r="B174" s="52" t="s">
        <v>35</v>
      </c>
      <c r="C174" s="51">
        <f t="shared" si="30"/>
        <v>2022</v>
      </c>
      <c r="D174" s="53">
        <v>44732</v>
      </c>
      <c r="E174" s="52" t="s">
        <v>369</v>
      </c>
      <c r="F174" s="51" t="s">
        <v>10</v>
      </c>
      <c r="G174" s="51" t="s">
        <v>47</v>
      </c>
      <c r="H174" s="51">
        <v>6</v>
      </c>
      <c r="I174" s="51">
        <v>6</v>
      </c>
      <c r="J174" s="51"/>
      <c r="K174" s="51" t="str">
        <f t="shared" si="37"/>
        <v>完结</v>
      </c>
      <c r="L174" s="51">
        <v>0</v>
      </c>
      <c r="M174" s="51"/>
      <c r="N174" s="51"/>
      <c r="O174" s="51" t="str">
        <f t="shared" si="38"/>
        <v>未</v>
      </c>
      <c r="P174" s="51"/>
      <c r="Q174" s="51"/>
      <c r="R174" s="51"/>
      <c r="S174" s="51"/>
      <c r="T174" s="51"/>
      <c r="U174" s="59"/>
      <c r="V174" s="51"/>
      <c r="W174" s="51"/>
      <c r="X174" s="51"/>
      <c r="Y174" s="51"/>
      <c r="Z174" s="51"/>
      <c r="AA174" s="51"/>
      <c r="AB174" s="51"/>
      <c r="AC174" s="51"/>
      <c r="AD174" s="51"/>
      <c r="AE174" s="51" t="e">
        <f t="shared" si="32"/>
        <v>#N/A</v>
      </c>
      <c r="AF174" s="51" t="e">
        <f t="shared" si="33"/>
        <v>#N/A</v>
      </c>
      <c r="AG174" s="51" t="e">
        <f t="shared" si="34"/>
        <v>#N/A</v>
      </c>
      <c r="AH174" s="51" t="e">
        <f t="shared" si="35"/>
        <v>#N/A</v>
      </c>
      <c r="AI174" s="51"/>
      <c r="AJ174" s="51"/>
      <c r="AK174" s="51" t="s">
        <v>44</v>
      </c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</row>
    <row r="175" spans="1:63" ht="30" customHeight="1">
      <c r="A175" s="45">
        <v>174</v>
      </c>
      <c r="B175" s="46" t="s">
        <v>141</v>
      </c>
      <c r="C175" s="45">
        <f t="shared" si="30"/>
        <v>2022</v>
      </c>
      <c r="D175" s="47">
        <v>44732</v>
      </c>
      <c r="E175" s="46" t="s">
        <v>370</v>
      </c>
      <c r="F175" s="45" t="s">
        <v>54</v>
      </c>
      <c r="G175" s="45" t="s">
        <v>63</v>
      </c>
      <c r="H175" s="45">
        <v>10</v>
      </c>
      <c r="I175" s="45">
        <v>10</v>
      </c>
      <c r="J175" s="45"/>
      <c r="K175" s="45" t="str">
        <f t="shared" si="37"/>
        <v>完结</v>
      </c>
      <c r="L175" s="45">
        <v>0</v>
      </c>
      <c r="M175" s="45"/>
      <c r="N175" s="45"/>
      <c r="O175" s="45" t="str">
        <f t="shared" si="38"/>
        <v>未</v>
      </c>
      <c r="P175" s="45"/>
      <c r="Q175" s="45"/>
      <c r="R175" s="45"/>
      <c r="S175" s="45"/>
      <c r="T175" s="45"/>
      <c r="U175" s="58"/>
      <c r="V175" s="45"/>
      <c r="W175" s="45"/>
      <c r="X175" s="45"/>
      <c r="Y175" s="45"/>
      <c r="Z175" s="45"/>
      <c r="AA175" s="45"/>
      <c r="AB175" s="45"/>
      <c r="AC175" s="45"/>
      <c r="AD175" s="45"/>
      <c r="AE175" s="45" t="e">
        <f t="shared" si="32"/>
        <v>#N/A</v>
      </c>
      <c r="AF175" s="45" t="e">
        <f t="shared" si="33"/>
        <v>#N/A</v>
      </c>
      <c r="AG175" s="45" t="e">
        <f t="shared" si="34"/>
        <v>#N/A</v>
      </c>
      <c r="AH175" s="45" t="e">
        <f t="shared" si="35"/>
        <v>#N/A</v>
      </c>
      <c r="AI175" s="45"/>
      <c r="AJ175" s="45"/>
      <c r="AK175" s="45" t="s">
        <v>330</v>
      </c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45"/>
      <c r="BG175" s="45"/>
      <c r="BH175" s="45"/>
      <c r="BI175" s="45"/>
      <c r="BJ175" s="45"/>
      <c r="BK175" s="45"/>
    </row>
    <row r="176" spans="1:63" ht="30" customHeight="1">
      <c r="A176" s="51">
        <v>175</v>
      </c>
      <c r="B176" s="52" t="s">
        <v>77</v>
      </c>
      <c r="C176" s="51">
        <f t="shared" si="30"/>
        <v>2022</v>
      </c>
      <c r="D176" s="53">
        <v>44732</v>
      </c>
      <c r="E176" s="52" t="s">
        <v>371</v>
      </c>
      <c r="F176" s="51" t="s">
        <v>54</v>
      </c>
      <c r="G176" s="51" t="s">
        <v>154</v>
      </c>
      <c r="H176" s="51">
        <v>4</v>
      </c>
      <c r="I176" s="51">
        <v>4</v>
      </c>
      <c r="J176" s="51"/>
      <c r="K176" s="51" t="str">
        <f t="shared" si="37"/>
        <v>完结</v>
      </c>
      <c r="L176" s="51">
        <v>4</v>
      </c>
      <c r="M176" s="51"/>
      <c r="N176" s="51"/>
      <c r="O176" s="51" t="str">
        <f t="shared" si="38"/>
        <v>完</v>
      </c>
      <c r="P176" s="51"/>
      <c r="Q176" s="51"/>
      <c r="R176" s="51"/>
      <c r="S176" s="51"/>
      <c r="T176" s="51"/>
      <c r="U176" s="59"/>
      <c r="V176" s="51"/>
      <c r="W176" s="51"/>
      <c r="X176" s="51"/>
      <c r="Y176" s="51"/>
      <c r="Z176" s="51"/>
      <c r="AA176" s="51"/>
      <c r="AB176" s="51"/>
      <c r="AC176" s="51"/>
      <c r="AD176" s="51"/>
      <c r="AE176" s="51" t="e">
        <f t="shared" si="32"/>
        <v>#N/A</v>
      </c>
      <c r="AF176" s="51" t="e">
        <f t="shared" si="33"/>
        <v>#N/A</v>
      </c>
      <c r="AG176" s="51" t="e">
        <f t="shared" si="34"/>
        <v>#N/A</v>
      </c>
      <c r="AH176" s="51" t="e">
        <f t="shared" si="35"/>
        <v>#N/A</v>
      </c>
      <c r="AI176" s="51"/>
      <c r="AJ176" s="51"/>
      <c r="AK176" s="51" t="s">
        <v>330</v>
      </c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</row>
    <row r="177" spans="1:63" ht="30" customHeight="1">
      <c r="A177" s="48">
        <v>176</v>
      </c>
      <c r="B177" s="49" t="s">
        <v>141</v>
      </c>
      <c r="C177" s="48">
        <f t="shared" si="30"/>
        <v>2022</v>
      </c>
      <c r="D177" s="50">
        <v>44734</v>
      </c>
      <c r="E177" s="49" t="s">
        <v>372</v>
      </c>
      <c r="F177" s="48" t="s">
        <v>81</v>
      </c>
      <c r="G177" s="48" t="s">
        <v>115</v>
      </c>
      <c r="H177" s="48">
        <v>12</v>
      </c>
      <c r="I177" s="48">
        <v>11</v>
      </c>
      <c r="J177" s="48"/>
      <c r="K177" s="48" t="str">
        <f>IF(H177=I177,"完结",IF(H177&gt;I177,"下载中"))</f>
        <v>下载中</v>
      </c>
      <c r="L177" s="48">
        <v>0</v>
      </c>
      <c r="M177" s="48"/>
      <c r="N177" s="48"/>
      <c r="O177" s="48" t="str">
        <f t="shared" si="38"/>
        <v>未</v>
      </c>
      <c r="P177" s="48"/>
      <c r="Q177" s="48"/>
      <c r="R177" s="48"/>
      <c r="S177" s="48"/>
      <c r="T177" s="48"/>
      <c r="U177" s="59"/>
      <c r="V177" s="48"/>
      <c r="W177" s="48"/>
      <c r="X177" s="48"/>
      <c r="Y177" s="48"/>
      <c r="Z177" s="48"/>
      <c r="AA177" s="48"/>
      <c r="AB177" s="48"/>
      <c r="AC177" s="48"/>
      <c r="AD177" s="48"/>
      <c r="AE177" s="48" t="e">
        <f t="shared" si="32"/>
        <v>#N/A</v>
      </c>
      <c r="AF177" s="48" t="e">
        <f t="shared" si="33"/>
        <v>#N/A</v>
      </c>
      <c r="AG177" s="48" t="e">
        <f t="shared" si="34"/>
        <v>#N/A</v>
      </c>
      <c r="AH177" s="48" t="e">
        <f t="shared" si="35"/>
        <v>#N/A</v>
      </c>
      <c r="AI177" s="48"/>
      <c r="AJ177" s="48"/>
      <c r="AK177" s="48" t="s">
        <v>330</v>
      </c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</row>
    <row r="178" spans="1:63" ht="30" customHeight="1">
      <c r="A178" s="51">
        <v>177</v>
      </c>
      <c r="B178" s="52" t="s">
        <v>35</v>
      </c>
      <c r="C178" s="51">
        <f t="shared" si="30"/>
        <v>2022</v>
      </c>
      <c r="D178" s="53">
        <v>44743</v>
      </c>
      <c r="E178" s="52" t="s">
        <v>373</v>
      </c>
      <c r="F178" s="51" t="s">
        <v>10</v>
      </c>
      <c r="G178" s="51" t="s">
        <v>47</v>
      </c>
      <c r="H178" s="51">
        <v>4</v>
      </c>
      <c r="I178" s="51">
        <v>4</v>
      </c>
      <c r="J178" s="51"/>
      <c r="K178" s="51" t="str">
        <f t="shared" si="37"/>
        <v>完结</v>
      </c>
      <c r="L178" s="51">
        <v>3</v>
      </c>
      <c r="M178" s="51"/>
      <c r="N178" s="51"/>
      <c r="O178" s="51" t="str">
        <f t="shared" si="38"/>
        <v>未</v>
      </c>
      <c r="P178" s="51"/>
      <c r="Q178" s="51"/>
      <c r="R178" s="51"/>
      <c r="S178" s="51"/>
      <c r="T178" s="51"/>
      <c r="U178" s="59"/>
      <c r="V178" s="51"/>
      <c r="W178" s="51"/>
      <c r="X178" s="51"/>
      <c r="Y178" s="51"/>
      <c r="Z178" s="51"/>
      <c r="AA178" s="51"/>
      <c r="AB178" s="51"/>
      <c r="AC178" s="51"/>
      <c r="AD178" s="51"/>
      <c r="AE178" s="51" t="e">
        <f t="shared" si="32"/>
        <v>#N/A</v>
      </c>
      <c r="AF178" s="51" t="e">
        <f t="shared" si="33"/>
        <v>#N/A</v>
      </c>
      <c r="AG178" s="51" t="e">
        <f t="shared" si="34"/>
        <v>#N/A</v>
      </c>
      <c r="AH178" s="51" t="e">
        <f t="shared" si="35"/>
        <v>#N/A</v>
      </c>
      <c r="AI178" s="51"/>
      <c r="AJ178" s="51"/>
      <c r="AK178" s="51" t="s">
        <v>44</v>
      </c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</row>
    <row r="179" spans="1:63" ht="30" customHeight="1">
      <c r="A179" s="54">
        <v>178</v>
      </c>
      <c r="B179" s="42" t="s">
        <v>35</v>
      </c>
      <c r="C179" s="54">
        <f t="shared" si="30"/>
        <v>2022</v>
      </c>
      <c r="D179" s="55">
        <v>44745</v>
      </c>
      <c r="E179" s="42" t="s">
        <v>374</v>
      </c>
      <c r="F179" s="54" t="s">
        <v>37</v>
      </c>
      <c r="G179" s="54" t="s">
        <v>115</v>
      </c>
      <c r="H179" s="54">
        <v>8</v>
      </c>
      <c r="I179" s="54">
        <v>8</v>
      </c>
      <c r="J179" s="54"/>
      <c r="K179" s="54" t="str">
        <f t="shared" si="37"/>
        <v>完结</v>
      </c>
      <c r="L179" s="54">
        <v>0</v>
      </c>
      <c r="M179" s="54"/>
      <c r="N179" s="54"/>
      <c r="O179" s="54" t="str">
        <f t="shared" si="38"/>
        <v>未</v>
      </c>
      <c r="P179" s="54"/>
      <c r="Q179" s="54"/>
      <c r="R179" s="54"/>
      <c r="S179" s="54"/>
      <c r="T179" s="54"/>
      <c r="U179" s="59"/>
      <c r="V179" s="54"/>
      <c r="W179" s="54"/>
      <c r="X179" s="54"/>
      <c r="Y179" s="54"/>
      <c r="Z179" s="54"/>
      <c r="AA179" s="54"/>
      <c r="AB179" s="54"/>
      <c r="AC179" s="54"/>
      <c r="AD179" s="54"/>
      <c r="AE179" s="54" t="e">
        <f t="shared" si="32"/>
        <v>#N/A</v>
      </c>
      <c r="AF179" s="54" t="e">
        <f t="shared" si="33"/>
        <v>#N/A</v>
      </c>
      <c r="AG179" s="54" t="e">
        <f t="shared" si="34"/>
        <v>#N/A</v>
      </c>
      <c r="AH179" s="54" t="e">
        <f t="shared" si="35"/>
        <v>#N/A</v>
      </c>
      <c r="AI179" s="54"/>
      <c r="AJ179" s="54"/>
      <c r="AK179" s="54" t="s">
        <v>224</v>
      </c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4"/>
      <c r="BE179" s="54"/>
      <c r="BF179" s="54"/>
      <c r="BG179" s="54"/>
      <c r="BH179" s="54"/>
      <c r="BI179" s="54"/>
      <c r="BJ179" s="54"/>
      <c r="BK179" s="54"/>
    </row>
    <row r="180" spans="1:63" ht="30" customHeight="1">
      <c r="A180" s="51">
        <v>179</v>
      </c>
      <c r="B180" s="52" t="s">
        <v>135</v>
      </c>
      <c r="C180" s="51">
        <f t="shared" si="30"/>
        <v>2022</v>
      </c>
      <c r="D180" s="53">
        <v>44749</v>
      </c>
      <c r="E180" s="52" t="s">
        <v>375</v>
      </c>
      <c r="F180" s="51" t="s">
        <v>48</v>
      </c>
      <c r="G180" s="51" t="s">
        <v>154</v>
      </c>
      <c r="H180" s="51">
        <v>7</v>
      </c>
      <c r="I180" s="51">
        <v>7</v>
      </c>
      <c r="J180" s="51"/>
      <c r="K180" s="51" t="str">
        <f t="shared" si="37"/>
        <v>完结</v>
      </c>
      <c r="L180" s="51">
        <v>7</v>
      </c>
      <c r="M180" s="51"/>
      <c r="N180" s="51"/>
      <c r="O180" s="51" t="str">
        <f t="shared" si="38"/>
        <v>完</v>
      </c>
      <c r="P180" s="51"/>
      <c r="Q180" s="51"/>
      <c r="R180" s="51"/>
      <c r="S180" s="51"/>
      <c r="T180" s="51"/>
      <c r="U180" s="59"/>
      <c r="V180" s="51"/>
      <c r="W180" s="51"/>
      <c r="X180" s="51"/>
      <c r="Y180" s="51"/>
      <c r="Z180" s="51"/>
      <c r="AA180" s="51"/>
      <c r="AB180" s="51"/>
      <c r="AC180" s="51"/>
      <c r="AD180" s="51"/>
      <c r="AE180" s="51" t="e">
        <f t="shared" si="32"/>
        <v>#N/A</v>
      </c>
      <c r="AF180" s="51" t="e">
        <f t="shared" si="33"/>
        <v>#N/A</v>
      </c>
      <c r="AG180" s="51" t="e">
        <f t="shared" si="34"/>
        <v>#N/A</v>
      </c>
      <c r="AH180" s="51" t="e">
        <f t="shared" si="35"/>
        <v>#N/A</v>
      </c>
      <c r="AI180" s="51"/>
      <c r="AJ180" s="51"/>
      <c r="AK180" s="51" t="s">
        <v>276</v>
      </c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</row>
    <row r="181" spans="1:63" ht="30" customHeight="1">
      <c r="A181" s="45">
        <v>180</v>
      </c>
      <c r="B181" s="46" t="s">
        <v>161</v>
      </c>
      <c r="C181" s="45">
        <f t="shared" si="30"/>
        <v>2022</v>
      </c>
      <c r="D181" s="47">
        <v>44753</v>
      </c>
      <c r="E181" s="46" t="s">
        <v>376</v>
      </c>
      <c r="F181" s="45" t="s">
        <v>10</v>
      </c>
      <c r="G181" s="45" t="s">
        <v>47</v>
      </c>
      <c r="H181" s="45">
        <v>6</v>
      </c>
      <c r="I181" s="45">
        <v>6</v>
      </c>
      <c r="J181" s="45"/>
      <c r="K181" s="45" t="str">
        <f t="shared" si="37"/>
        <v>完结</v>
      </c>
      <c r="L181" s="45">
        <v>4</v>
      </c>
      <c r="M181" s="45"/>
      <c r="N181" s="45"/>
      <c r="O181" s="45" t="str">
        <f t="shared" si="38"/>
        <v>未</v>
      </c>
      <c r="P181" s="45"/>
      <c r="Q181" s="45"/>
      <c r="R181" s="45"/>
      <c r="S181" s="45"/>
      <c r="T181" s="45"/>
      <c r="U181" s="58"/>
      <c r="V181" s="45"/>
      <c r="W181" s="45"/>
      <c r="X181" s="45"/>
      <c r="Y181" s="45"/>
      <c r="Z181" s="45"/>
      <c r="AA181" s="45"/>
      <c r="AB181" s="45"/>
      <c r="AC181" s="45"/>
      <c r="AD181" s="45"/>
      <c r="AE181" s="45" t="e">
        <f t="shared" si="32"/>
        <v>#N/A</v>
      </c>
      <c r="AF181" s="45" t="e">
        <f t="shared" si="33"/>
        <v>#N/A</v>
      </c>
      <c r="AG181" s="45" t="e">
        <f t="shared" si="34"/>
        <v>#N/A</v>
      </c>
      <c r="AH181" s="45" t="e">
        <f t="shared" si="35"/>
        <v>#N/A</v>
      </c>
      <c r="AI181" s="45"/>
      <c r="AJ181" s="45"/>
      <c r="AK181" s="45" t="s">
        <v>44</v>
      </c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45"/>
      <c r="BG181" s="45"/>
      <c r="BH181" s="45"/>
      <c r="BI181" s="45"/>
      <c r="BJ181" s="45"/>
      <c r="BK181" s="45"/>
    </row>
    <row r="182" spans="1:63" ht="30" customHeight="1">
      <c r="A182" s="51">
        <v>181</v>
      </c>
      <c r="B182" s="52" t="s">
        <v>124</v>
      </c>
      <c r="C182" s="51">
        <f t="shared" si="30"/>
        <v>2022</v>
      </c>
      <c r="D182" s="53">
        <v>44755</v>
      </c>
      <c r="E182" s="52" t="s">
        <v>377</v>
      </c>
      <c r="F182" s="51" t="s">
        <v>48</v>
      </c>
      <c r="G182" s="51" t="s">
        <v>88</v>
      </c>
      <c r="H182" s="51">
        <v>5</v>
      </c>
      <c r="I182" s="51">
        <v>3</v>
      </c>
      <c r="J182" s="51"/>
      <c r="K182" s="51" t="str">
        <f>IF(H182=I182,"完结",IF(H182&gt;I182,"下载中"))</f>
        <v>下载中</v>
      </c>
      <c r="L182" s="51">
        <v>3</v>
      </c>
      <c r="M182" s="51"/>
      <c r="N182" s="51"/>
      <c r="O182" s="51" t="str">
        <f t="shared" si="38"/>
        <v>未</v>
      </c>
      <c r="P182" s="51"/>
      <c r="Q182" s="51"/>
      <c r="R182" s="51"/>
      <c r="S182" s="51"/>
      <c r="T182" s="51"/>
      <c r="U182" s="59"/>
      <c r="V182" s="51"/>
      <c r="W182" s="51"/>
      <c r="X182" s="51"/>
      <c r="Y182" s="51"/>
      <c r="Z182" s="51"/>
      <c r="AA182" s="51"/>
      <c r="AB182" s="51"/>
      <c r="AC182" s="51"/>
      <c r="AD182" s="51"/>
      <c r="AE182" s="51" t="e">
        <f t="shared" si="32"/>
        <v>#N/A</v>
      </c>
      <c r="AF182" s="51" t="e">
        <f t="shared" si="33"/>
        <v>#N/A</v>
      </c>
      <c r="AG182" s="51" t="e">
        <f t="shared" si="34"/>
        <v>#N/A</v>
      </c>
      <c r="AH182" s="51" t="e">
        <f t="shared" si="35"/>
        <v>#N/A</v>
      </c>
      <c r="AI182" s="51"/>
      <c r="AJ182" s="51"/>
      <c r="AK182" s="51" t="s">
        <v>330</v>
      </c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</row>
    <row r="183" spans="1:63" ht="30" customHeight="1">
      <c r="A183" s="48">
        <v>182</v>
      </c>
      <c r="B183" s="49" t="s">
        <v>161</v>
      </c>
      <c r="C183" s="48">
        <f t="shared" si="30"/>
        <v>2022</v>
      </c>
      <c r="D183" s="50">
        <v>44763</v>
      </c>
      <c r="E183" s="49" t="s">
        <v>378</v>
      </c>
      <c r="F183" s="48" t="s">
        <v>10</v>
      </c>
      <c r="G183" s="48" t="s">
        <v>47</v>
      </c>
      <c r="H183" s="48">
        <v>4</v>
      </c>
      <c r="I183" s="48">
        <v>4</v>
      </c>
      <c r="J183" s="48"/>
      <c r="K183" s="48" t="str">
        <f t="shared" si="37"/>
        <v>完结</v>
      </c>
      <c r="L183" s="48">
        <v>4</v>
      </c>
      <c r="M183" s="48"/>
      <c r="N183" s="48"/>
      <c r="O183" s="48" t="str">
        <f t="shared" si="38"/>
        <v>完</v>
      </c>
      <c r="P183" s="48"/>
      <c r="Q183" s="48"/>
      <c r="R183" s="48"/>
      <c r="S183" s="48"/>
      <c r="T183" s="48"/>
      <c r="U183" s="59"/>
      <c r="V183" s="48"/>
      <c r="W183" s="48"/>
      <c r="X183" s="48"/>
      <c r="Y183" s="48"/>
      <c r="Z183" s="48"/>
      <c r="AA183" s="48"/>
      <c r="AB183" s="48"/>
      <c r="AC183" s="48"/>
      <c r="AD183" s="48"/>
      <c r="AE183" s="48" t="e">
        <f t="shared" si="32"/>
        <v>#N/A</v>
      </c>
      <c r="AF183" s="48" t="e">
        <f t="shared" si="33"/>
        <v>#N/A</v>
      </c>
      <c r="AG183" s="48" t="e">
        <f t="shared" si="34"/>
        <v>#N/A</v>
      </c>
      <c r="AH183" s="48" t="e">
        <f t="shared" si="35"/>
        <v>#N/A</v>
      </c>
      <c r="AI183" s="48"/>
      <c r="AJ183" s="48"/>
      <c r="AK183" s="48" t="s">
        <v>330</v>
      </c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</row>
    <row r="184" spans="1:63" ht="30" customHeight="1">
      <c r="A184" s="51">
        <v>183</v>
      </c>
      <c r="B184" s="52" t="s">
        <v>110</v>
      </c>
      <c r="C184" s="51">
        <f t="shared" si="30"/>
        <v>2022</v>
      </c>
      <c r="D184" s="53">
        <v>44777</v>
      </c>
      <c r="E184" s="52" t="s">
        <v>379</v>
      </c>
      <c r="F184" s="51" t="s">
        <v>48</v>
      </c>
      <c r="G184" s="51" t="s">
        <v>63</v>
      </c>
      <c r="H184" s="51">
        <v>6</v>
      </c>
      <c r="I184" s="51">
        <v>6</v>
      </c>
      <c r="J184" s="51"/>
      <c r="K184" s="51" t="str">
        <f t="shared" si="37"/>
        <v>完结</v>
      </c>
      <c r="L184" s="51">
        <v>4</v>
      </c>
      <c r="M184" s="51"/>
      <c r="N184" s="51" t="s">
        <v>380</v>
      </c>
      <c r="O184" s="51" t="str">
        <f t="shared" si="38"/>
        <v>未</v>
      </c>
      <c r="P184" s="51"/>
      <c r="Q184" s="51"/>
      <c r="R184" s="51"/>
      <c r="S184" s="51"/>
      <c r="T184" s="51"/>
      <c r="U184" s="59"/>
      <c r="V184" s="51"/>
      <c r="W184" s="51"/>
      <c r="X184" s="51"/>
      <c r="Y184" s="51"/>
      <c r="Z184" s="51"/>
      <c r="AA184" s="51"/>
      <c r="AB184" s="51"/>
      <c r="AC184" s="51"/>
      <c r="AD184" s="51"/>
      <c r="AE184" s="51" t="e">
        <f t="shared" si="32"/>
        <v>#N/A</v>
      </c>
      <c r="AF184" s="51" t="e">
        <f t="shared" si="33"/>
        <v>#N/A</v>
      </c>
      <c r="AG184" s="51" t="e">
        <f t="shared" si="34"/>
        <v>#N/A</v>
      </c>
      <c r="AH184" s="51" t="e">
        <f t="shared" si="35"/>
        <v>#N/A</v>
      </c>
      <c r="AI184" s="51"/>
      <c r="AJ184" s="51"/>
      <c r="AK184" s="51" t="s">
        <v>330</v>
      </c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</row>
    <row r="185" spans="1:63" ht="30" customHeight="1">
      <c r="A185" s="54">
        <v>184</v>
      </c>
      <c r="B185" s="42" t="s">
        <v>170</v>
      </c>
      <c r="C185" s="54">
        <f t="shared" si="30"/>
        <v>2022</v>
      </c>
      <c r="D185" s="55">
        <v>44778</v>
      </c>
      <c r="E185" s="42" t="s">
        <v>381</v>
      </c>
      <c r="F185" s="54" t="s">
        <v>107</v>
      </c>
      <c r="G185" s="54" t="s">
        <v>115</v>
      </c>
      <c r="H185" s="54">
        <v>5</v>
      </c>
      <c r="I185" s="54">
        <v>2</v>
      </c>
      <c r="J185" s="54"/>
      <c r="K185" s="54" t="s">
        <v>140</v>
      </c>
      <c r="L185" s="54"/>
      <c r="M185" s="54"/>
      <c r="N185" s="54"/>
      <c r="O185" s="54" t="str">
        <f t="shared" si="38"/>
        <v>未</v>
      </c>
      <c r="P185" s="54"/>
      <c r="Q185" s="54"/>
      <c r="R185" s="54"/>
      <c r="S185" s="54"/>
      <c r="T185" s="54"/>
      <c r="U185" s="59"/>
      <c r="V185" s="54"/>
      <c r="W185" s="54"/>
      <c r="X185" s="54"/>
      <c r="Y185" s="54"/>
      <c r="Z185" s="54"/>
      <c r="AA185" s="54"/>
      <c r="AB185" s="54"/>
      <c r="AC185" s="54"/>
      <c r="AD185" s="54"/>
      <c r="AE185" s="54" t="e">
        <f t="shared" si="32"/>
        <v>#N/A</v>
      </c>
      <c r="AF185" s="54" t="e">
        <f t="shared" si="33"/>
        <v>#N/A</v>
      </c>
      <c r="AG185" s="54" t="e">
        <f t="shared" si="34"/>
        <v>#N/A</v>
      </c>
      <c r="AH185" s="54" t="e">
        <f t="shared" si="35"/>
        <v>#N/A</v>
      </c>
      <c r="AI185" s="54"/>
      <c r="AJ185" s="54"/>
      <c r="AK185" s="54" t="s">
        <v>143</v>
      </c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4"/>
      <c r="BE185" s="54"/>
      <c r="BF185" s="54"/>
      <c r="BG185" s="54"/>
      <c r="BH185" s="54"/>
      <c r="BI185" s="54"/>
      <c r="BJ185" s="54"/>
      <c r="BK185" s="54"/>
    </row>
    <row r="186" spans="1:63" ht="30" customHeight="1">
      <c r="A186" s="51">
        <v>185</v>
      </c>
      <c r="B186" s="52" t="s">
        <v>170</v>
      </c>
      <c r="C186" s="51">
        <f t="shared" si="30"/>
        <v>2022</v>
      </c>
      <c r="D186" s="53">
        <v>44779</v>
      </c>
      <c r="E186" s="52" t="s">
        <v>382</v>
      </c>
      <c r="F186" s="51" t="s">
        <v>107</v>
      </c>
      <c r="G186" s="51" t="s">
        <v>115</v>
      </c>
      <c r="H186" s="51">
        <v>6</v>
      </c>
      <c r="I186" s="51">
        <v>0</v>
      </c>
      <c r="J186" s="51"/>
      <c r="K186" s="51" t="s">
        <v>140</v>
      </c>
      <c r="L186" s="51"/>
      <c r="M186" s="51"/>
      <c r="N186" s="51"/>
      <c r="O186" s="51" t="str">
        <f t="shared" si="38"/>
        <v>未</v>
      </c>
      <c r="P186" s="51"/>
      <c r="Q186" s="51"/>
      <c r="R186" s="51"/>
      <c r="S186" s="51"/>
      <c r="T186" s="51"/>
      <c r="U186" s="59"/>
      <c r="V186" s="51"/>
      <c r="W186" s="51"/>
      <c r="X186" s="51"/>
      <c r="Y186" s="51"/>
      <c r="Z186" s="51"/>
      <c r="AA186" s="51"/>
      <c r="AB186" s="51"/>
      <c r="AC186" s="51"/>
      <c r="AD186" s="51"/>
      <c r="AE186" s="51" t="e">
        <f t="shared" si="32"/>
        <v>#N/A</v>
      </c>
      <c r="AF186" s="51" t="e">
        <f t="shared" si="33"/>
        <v>#N/A</v>
      </c>
      <c r="AG186" s="51" t="e">
        <f t="shared" si="34"/>
        <v>#N/A</v>
      </c>
      <c r="AH186" s="51" t="e">
        <f t="shared" si="35"/>
        <v>#N/A</v>
      </c>
      <c r="AI186" s="51"/>
      <c r="AJ186" s="51"/>
      <c r="AK186" s="51" t="s">
        <v>143</v>
      </c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</row>
    <row r="187" spans="1:63" ht="30" customHeight="1">
      <c r="A187" s="45">
        <v>186</v>
      </c>
      <c r="B187" s="46" t="s">
        <v>124</v>
      </c>
      <c r="C187" s="45">
        <f t="shared" si="30"/>
        <v>2022</v>
      </c>
      <c r="D187" s="47">
        <v>44788</v>
      </c>
      <c r="E187" s="46" t="s">
        <v>383</v>
      </c>
      <c r="F187" s="45" t="s">
        <v>48</v>
      </c>
      <c r="G187" s="45" t="s">
        <v>63</v>
      </c>
      <c r="H187" s="45">
        <v>5</v>
      </c>
      <c r="I187" s="45">
        <v>5</v>
      </c>
      <c r="J187" s="45"/>
      <c r="K187" s="45" t="str">
        <f>IF(H187=I187,"完结",IF(H187&gt;I187,"未完结"))</f>
        <v>完结</v>
      </c>
      <c r="L187" s="45">
        <v>5</v>
      </c>
      <c r="M187" s="45"/>
      <c r="N187" s="45" t="s">
        <v>384</v>
      </c>
      <c r="O187" s="45" t="str">
        <f t="shared" si="38"/>
        <v>完</v>
      </c>
      <c r="P187" s="45"/>
      <c r="Q187" s="45"/>
      <c r="R187" s="45"/>
      <c r="S187" s="45"/>
      <c r="T187" s="45"/>
      <c r="U187" s="58"/>
      <c r="V187" s="45"/>
      <c r="W187" s="45"/>
      <c r="X187" s="45"/>
      <c r="Y187" s="45"/>
      <c r="Z187" s="45"/>
      <c r="AA187" s="45"/>
      <c r="AB187" s="45"/>
      <c r="AC187" s="45"/>
      <c r="AD187" s="45"/>
      <c r="AE187" s="45" t="e">
        <f t="shared" si="32"/>
        <v>#N/A</v>
      </c>
      <c r="AF187" s="45" t="e">
        <f t="shared" si="33"/>
        <v>#N/A</v>
      </c>
      <c r="AG187" s="45" t="e">
        <f t="shared" si="34"/>
        <v>#N/A</v>
      </c>
      <c r="AH187" s="45" t="e">
        <f t="shared" si="35"/>
        <v>#N/A</v>
      </c>
      <c r="AI187" s="45"/>
      <c r="AJ187" s="45"/>
      <c r="AK187" s="45" t="s">
        <v>330</v>
      </c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45"/>
      <c r="BE187" s="45"/>
      <c r="BF187" s="45"/>
      <c r="BG187" s="45"/>
      <c r="BH187" s="45"/>
      <c r="BI187" s="45"/>
      <c r="BJ187" s="45"/>
      <c r="BK187" s="45"/>
    </row>
    <row r="188" spans="1:63" ht="30" customHeight="1">
      <c r="A188" s="51">
        <v>187</v>
      </c>
      <c r="B188" s="52" t="s">
        <v>124</v>
      </c>
      <c r="C188" s="51">
        <f t="shared" si="30"/>
        <v>2022</v>
      </c>
      <c r="D188" s="53">
        <v>44795</v>
      </c>
      <c r="E188" s="52" t="s">
        <v>385</v>
      </c>
      <c r="F188" s="51" t="s">
        <v>37</v>
      </c>
      <c r="G188" s="51" t="s">
        <v>47</v>
      </c>
      <c r="H188" s="51">
        <v>5</v>
      </c>
      <c r="I188" s="51">
        <v>5</v>
      </c>
      <c r="J188" s="51"/>
      <c r="K188" s="51" t="str">
        <f>IF(H188=I188,"完结",IF(H188&gt;I188,"未完结"))</f>
        <v>完结</v>
      </c>
      <c r="L188" s="51">
        <v>5</v>
      </c>
      <c r="M188" s="51"/>
      <c r="N188" s="51" t="s">
        <v>386</v>
      </c>
      <c r="O188" s="51" t="str">
        <f t="shared" si="38"/>
        <v>完</v>
      </c>
      <c r="P188" s="51"/>
      <c r="Q188" s="51"/>
      <c r="R188" s="51"/>
      <c r="S188" s="51"/>
      <c r="T188" s="51"/>
      <c r="U188" s="59"/>
      <c r="V188" s="51"/>
      <c r="W188" s="51"/>
      <c r="X188" s="51"/>
      <c r="Y188" s="51"/>
      <c r="Z188" s="51"/>
      <c r="AA188" s="51"/>
      <c r="AB188" s="51"/>
      <c r="AC188" s="51"/>
      <c r="AD188" s="51"/>
      <c r="AE188" s="51" t="e">
        <f t="shared" si="32"/>
        <v>#N/A</v>
      </c>
      <c r="AF188" s="51" t="e">
        <f t="shared" si="33"/>
        <v>#N/A</v>
      </c>
      <c r="AG188" s="51" t="e">
        <f t="shared" si="34"/>
        <v>#N/A</v>
      </c>
      <c r="AH188" s="51" t="e">
        <f t="shared" si="35"/>
        <v>#N/A</v>
      </c>
      <c r="AI188" s="51"/>
      <c r="AJ188" s="51"/>
      <c r="AK188" s="51" t="s">
        <v>276</v>
      </c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</row>
    <row r="189" spans="1:63" ht="30" customHeight="1">
      <c r="A189" s="48">
        <v>188</v>
      </c>
      <c r="B189" s="49" t="s">
        <v>170</v>
      </c>
      <c r="C189" s="48">
        <f t="shared" si="30"/>
        <v>2022</v>
      </c>
      <c r="D189" s="50">
        <v>44799</v>
      </c>
      <c r="E189" s="49" t="s">
        <v>387</v>
      </c>
      <c r="F189" s="48" t="s">
        <v>37</v>
      </c>
      <c r="G189" s="48" t="s">
        <v>63</v>
      </c>
      <c r="H189" s="48">
        <v>6</v>
      </c>
      <c r="I189" s="48">
        <v>6</v>
      </c>
      <c r="J189" s="48"/>
      <c r="K189" s="48" t="str">
        <f>IF(H189=I189,"完结",IF(H189&gt;I189,"未完结"))</f>
        <v>完结</v>
      </c>
      <c r="L189" s="48">
        <v>0</v>
      </c>
      <c r="M189" s="48"/>
      <c r="N189" s="48"/>
      <c r="O189" s="48" t="str">
        <f t="shared" si="38"/>
        <v>未</v>
      </c>
      <c r="P189" s="48"/>
      <c r="Q189" s="48"/>
      <c r="R189" s="48"/>
      <c r="S189" s="48"/>
      <c r="T189" s="48"/>
      <c r="U189" s="59"/>
      <c r="V189" s="48"/>
      <c r="W189" s="48"/>
      <c r="X189" s="48"/>
      <c r="Y189" s="48"/>
      <c r="Z189" s="48"/>
      <c r="AA189" s="48"/>
      <c r="AB189" s="48"/>
      <c r="AC189" s="48"/>
      <c r="AD189" s="48"/>
      <c r="AE189" s="48" t="e">
        <f t="shared" si="32"/>
        <v>#N/A</v>
      </c>
      <c r="AF189" s="48" t="e">
        <f t="shared" si="33"/>
        <v>#N/A</v>
      </c>
      <c r="AG189" s="48" t="e">
        <f t="shared" si="34"/>
        <v>#N/A</v>
      </c>
      <c r="AH189" s="48" t="e">
        <f t="shared" si="35"/>
        <v>#N/A</v>
      </c>
      <c r="AI189" s="48"/>
      <c r="AJ189" s="48"/>
      <c r="AK189" s="48" t="s">
        <v>330</v>
      </c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</row>
    <row r="190" spans="1:63" ht="30" customHeight="1">
      <c r="A190" s="51">
        <v>189</v>
      </c>
      <c r="B190" s="52" t="s">
        <v>161</v>
      </c>
      <c r="C190" s="51">
        <f t="shared" si="30"/>
        <v>2022</v>
      </c>
      <c r="D190" s="53">
        <v>44817</v>
      </c>
      <c r="E190" s="52" t="s">
        <v>388</v>
      </c>
      <c r="F190" s="51" t="s">
        <v>10</v>
      </c>
      <c r="G190" s="51" t="s">
        <v>63</v>
      </c>
      <c r="H190" s="51">
        <v>6</v>
      </c>
      <c r="I190" s="51">
        <v>1</v>
      </c>
      <c r="J190" s="51"/>
      <c r="K190" s="51" t="s">
        <v>140</v>
      </c>
      <c r="L190" s="51"/>
      <c r="M190" s="51"/>
      <c r="N190" s="51"/>
      <c r="O190" s="51" t="str">
        <f t="shared" si="38"/>
        <v>未</v>
      </c>
      <c r="P190" s="51"/>
      <c r="Q190" s="51"/>
      <c r="R190" s="51"/>
      <c r="S190" s="51"/>
      <c r="T190" s="51" t="s">
        <v>10</v>
      </c>
      <c r="U190" s="59"/>
      <c r="V190" s="51"/>
      <c r="W190" s="51"/>
      <c r="X190" s="51"/>
      <c r="Y190" s="51"/>
      <c r="Z190" s="51"/>
      <c r="AA190" s="51"/>
      <c r="AB190" s="51"/>
      <c r="AC190" s="51"/>
      <c r="AD190" s="51"/>
      <c r="AE190" s="51" t="e">
        <f t="shared" si="32"/>
        <v>#N/A</v>
      </c>
      <c r="AF190" s="51" t="e">
        <f t="shared" si="33"/>
        <v>#N/A</v>
      </c>
      <c r="AG190" s="51" t="e">
        <f t="shared" si="34"/>
        <v>#N/A</v>
      </c>
      <c r="AH190" s="51" t="e">
        <f t="shared" si="35"/>
        <v>#N/A</v>
      </c>
      <c r="AI190" s="51"/>
      <c r="AJ190" s="51"/>
      <c r="AK190" s="51" t="s">
        <v>143</v>
      </c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</row>
    <row r="191" spans="1:63" ht="30" customHeight="1">
      <c r="A191" s="54">
        <v>190</v>
      </c>
      <c r="B191" s="42" t="s">
        <v>161</v>
      </c>
      <c r="C191" s="54">
        <f t="shared" si="30"/>
        <v>2022</v>
      </c>
      <c r="D191" s="55">
        <v>44819</v>
      </c>
      <c r="E191" s="42" t="s">
        <v>389</v>
      </c>
      <c r="F191" s="54" t="s">
        <v>10</v>
      </c>
      <c r="G191" s="54" t="s">
        <v>63</v>
      </c>
      <c r="H191" s="54">
        <v>5</v>
      </c>
      <c r="I191" s="54">
        <v>5</v>
      </c>
      <c r="J191" s="54"/>
      <c r="K191" s="54" t="str">
        <f>IF(H191=I191,"完结",IF(H191&gt;I191,"未完结"))</f>
        <v>完结</v>
      </c>
      <c r="L191" s="54">
        <v>0</v>
      </c>
      <c r="M191" s="54"/>
      <c r="N191" s="54"/>
      <c r="O191" s="54" t="str">
        <f t="shared" si="38"/>
        <v>未</v>
      </c>
      <c r="P191" s="54"/>
      <c r="Q191" s="54"/>
      <c r="R191" s="54"/>
      <c r="S191" s="54"/>
      <c r="T191" s="54"/>
      <c r="U191" s="59"/>
      <c r="V191" s="54"/>
      <c r="W191" s="54"/>
      <c r="X191" s="54"/>
      <c r="Y191" s="54"/>
      <c r="Z191" s="54"/>
      <c r="AA191" s="54"/>
      <c r="AB191" s="54"/>
      <c r="AC191" s="54"/>
      <c r="AD191" s="54"/>
      <c r="AE191" s="54" t="e">
        <f t="shared" si="32"/>
        <v>#N/A</v>
      </c>
      <c r="AF191" s="54" t="e">
        <f t="shared" si="33"/>
        <v>#N/A</v>
      </c>
      <c r="AG191" s="54" t="e">
        <f t="shared" si="34"/>
        <v>#N/A</v>
      </c>
      <c r="AH191" s="54" t="e">
        <f t="shared" si="35"/>
        <v>#N/A</v>
      </c>
      <c r="AI191" s="54"/>
      <c r="AJ191" s="54"/>
      <c r="AK191" s="54" t="s">
        <v>44</v>
      </c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4"/>
      <c r="BE191" s="54"/>
      <c r="BF191" s="54"/>
      <c r="BG191" s="54"/>
      <c r="BH191" s="54"/>
      <c r="BI191" s="54"/>
      <c r="BJ191" s="54"/>
      <c r="BK191" s="54"/>
    </row>
    <row r="192" spans="1:63" ht="30" customHeight="1">
      <c r="A192" s="51">
        <v>191</v>
      </c>
      <c r="B192" s="52" t="s">
        <v>77</v>
      </c>
      <c r="C192" s="51">
        <f t="shared" si="30"/>
        <v>2022</v>
      </c>
      <c r="D192" s="53">
        <v>44820</v>
      </c>
      <c r="E192" s="52" t="s">
        <v>390</v>
      </c>
      <c r="F192" s="51" t="s">
        <v>107</v>
      </c>
      <c r="G192" s="51" t="s">
        <v>47</v>
      </c>
      <c r="H192" s="51">
        <v>1</v>
      </c>
      <c r="I192" s="51">
        <v>1</v>
      </c>
      <c r="J192" s="51"/>
      <c r="K192" s="51" t="str">
        <f>IF(H192=I192,"完结",IF(H192&gt;I192,"未完结"))</f>
        <v>完结</v>
      </c>
      <c r="L192" s="51">
        <v>0</v>
      </c>
      <c r="M192" s="51"/>
      <c r="N192" s="51"/>
      <c r="O192" s="51" t="str">
        <f t="shared" si="38"/>
        <v>未</v>
      </c>
      <c r="P192" s="51"/>
      <c r="Q192" s="51"/>
      <c r="R192" s="51"/>
      <c r="S192" s="51"/>
      <c r="T192" s="51"/>
      <c r="U192" s="59"/>
      <c r="V192" s="51"/>
      <c r="W192" s="51"/>
      <c r="X192" s="51"/>
      <c r="Y192" s="51"/>
      <c r="Z192" s="51"/>
      <c r="AA192" s="51"/>
      <c r="AB192" s="51"/>
      <c r="AC192" s="51"/>
      <c r="AD192" s="51"/>
      <c r="AE192" s="51" t="e">
        <f t="shared" si="32"/>
        <v>#N/A</v>
      </c>
      <c r="AF192" s="51" t="e">
        <f t="shared" si="33"/>
        <v>#N/A</v>
      </c>
      <c r="AG192" s="51" t="e">
        <f t="shared" si="34"/>
        <v>#N/A</v>
      </c>
      <c r="AH192" s="51" t="e">
        <f t="shared" si="35"/>
        <v>#N/A</v>
      </c>
      <c r="AI192" s="51"/>
      <c r="AJ192" s="51"/>
      <c r="AK192" s="51" t="s">
        <v>44</v>
      </c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</row>
    <row r="193" spans="1:63" ht="30" customHeight="1">
      <c r="A193" s="45">
        <v>192</v>
      </c>
      <c r="B193" s="46" t="s">
        <v>161</v>
      </c>
      <c r="C193" s="45">
        <f t="shared" si="30"/>
        <v>2022</v>
      </c>
      <c r="D193" s="47">
        <v>44827</v>
      </c>
      <c r="E193" s="46" t="s">
        <v>391</v>
      </c>
      <c r="F193" s="45" t="s">
        <v>107</v>
      </c>
      <c r="G193" s="45" t="s">
        <v>63</v>
      </c>
      <c r="H193" s="45">
        <v>7</v>
      </c>
      <c r="I193" s="45">
        <v>3</v>
      </c>
      <c r="J193" s="45"/>
      <c r="K193" s="45" t="s">
        <v>140</v>
      </c>
      <c r="L193" s="45"/>
      <c r="M193" s="45"/>
      <c r="N193" s="45"/>
      <c r="O193" s="45" t="str">
        <f t="shared" si="38"/>
        <v>未</v>
      </c>
      <c r="P193" s="45"/>
      <c r="Q193" s="45"/>
      <c r="R193" s="45"/>
      <c r="S193" s="45"/>
      <c r="T193" s="45"/>
      <c r="U193" s="58"/>
      <c r="V193" s="45"/>
      <c r="W193" s="45"/>
      <c r="X193" s="45"/>
      <c r="Y193" s="45"/>
      <c r="Z193" s="45"/>
      <c r="AA193" s="45"/>
      <c r="AB193" s="45"/>
      <c r="AC193" s="45"/>
      <c r="AD193" s="45"/>
      <c r="AE193" s="45" t="e">
        <f t="shared" si="32"/>
        <v>#N/A</v>
      </c>
      <c r="AF193" s="45" t="e">
        <f t="shared" si="33"/>
        <v>#N/A</v>
      </c>
      <c r="AG193" s="45" t="e">
        <f t="shared" si="34"/>
        <v>#N/A</v>
      </c>
      <c r="AH193" s="45" t="e">
        <f t="shared" si="35"/>
        <v>#N/A</v>
      </c>
      <c r="AI193" s="45"/>
      <c r="AJ193" s="45"/>
      <c r="AK193" s="45" t="s">
        <v>143</v>
      </c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45"/>
      <c r="BE193" s="45"/>
      <c r="BF193" s="45"/>
      <c r="BG193" s="45"/>
      <c r="BH193" s="45"/>
      <c r="BI193" s="45"/>
      <c r="BJ193" s="45"/>
      <c r="BK193" s="45"/>
    </row>
    <row r="194" spans="1:63" ht="30" customHeight="1">
      <c r="A194" s="51">
        <v>193</v>
      </c>
      <c r="B194" s="52" t="s">
        <v>82</v>
      </c>
      <c r="C194" s="51">
        <f t="shared" ref="C194:C257" si="39">YEAR(D194)</f>
        <v>2022</v>
      </c>
      <c r="D194" s="53">
        <v>44834</v>
      </c>
      <c r="E194" s="52" t="s">
        <v>392</v>
      </c>
      <c r="F194" s="51" t="s">
        <v>107</v>
      </c>
      <c r="G194" s="51" t="s">
        <v>63</v>
      </c>
      <c r="H194" s="51">
        <v>4</v>
      </c>
      <c r="I194" s="51">
        <v>3</v>
      </c>
      <c r="J194" s="51"/>
      <c r="K194" s="51" t="s">
        <v>140</v>
      </c>
      <c r="L194" s="51">
        <v>0</v>
      </c>
      <c r="M194" s="51"/>
      <c r="N194" s="51"/>
      <c r="O194" s="51" t="str">
        <f t="shared" si="38"/>
        <v>未</v>
      </c>
      <c r="P194" s="51"/>
      <c r="Q194" s="51"/>
      <c r="R194" s="51"/>
      <c r="S194" s="51"/>
      <c r="T194" s="51"/>
      <c r="U194" s="59"/>
      <c r="V194" s="51"/>
      <c r="W194" s="51"/>
      <c r="X194" s="51"/>
      <c r="Y194" s="51"/>
      <c r="Z194" s="51"/>
      <c r="AA194" s="51"/>
      <c r="AB194" s="51"/>
      <c r="AC194" s="51"/>
      <c r="AD194" s="51"/>
      <c r="AE194" s="51" t="e">
        <f t="shared" si="32"/>
        <v>#N/A</v>
      </c>
      <c r="AF194" s="51" t="e">
        <f t="shared" si="33"/>
        <v>#N/A</v>
      </c>
      <c r="AG194" s="51" t="e">
        <f t="shared" si="34"/>
        <v>#N/A</v>
      </c>
      <c r="AH194" s="51" t="e">
        <f t="shared" si="35"/>
        <v>#N/A</v>
      </c>
      <c r="AI194" s="51"/>
      <c r="AJ194" s="51"/>
      <c r="AK194" s="51" t="s">
        <v>143</v>
      </c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</row>
    <row r="195" spans="1:63" ht="30" customHeight="1">
      <c r="A195" s="48">
        <v>194</v>
      </c>
      <c r="B195" s="49" t="s">
        <v>35</v>
      </c>
      <c r="C195" s="48">
        <f t="shared" si="39"/>
        <v>2022</v>
      </c>
      <c r="D195" s="50">
        <v>44851</v>
      </c>
      <c r="E195" s="49" t="s">
        <v>217</v>
      </c>
      <c r="F195" s="48" t="s">
        <v>37</v>
      </c>
      <c r="G195" s="48" t="s">
        <v>63</v>
      </c>
      <c r="H195" s="48">
        <v>5</v>
      </c>
      <c r="I195" s="48">
        <v>5</v>
      </c>
      <c r="J195" s="48"/>
      <c r="K195" s="48" t="str">
        <f>IF(H195=I195,"完结",IF(H195&gt;I195,"未完结"))</f>
        <v>完结</v>
      </c>
      <c r="L195" s="48">
        <v>0</v>
      </c>
      <c r="M195" s="48"/>
      <c r="N195" s="48"/>
      <c r="O195" s="48" t="str">
        <f t="shared" si="38"/>
        <v>未</v>
      </c>
      <c r="P195" s="48" t="s">
        <v>40</v>
      </c>
      <c r="Q195" s="48" t="s">
        <v>70</v>
      </c>
      <c r="R195" s="48" t="s">
        <v>70</v>
      </c>
      <c r="S195" s="48" t="s">
        <v>43</v>
      </c>
      <c r="T195" s="48"/>
      <c r="U195" s="59"/>
      <c r="V195" s="48"/>
      <c r="W195" s="48"/>
      <c r="X195" s="48"/>
      <c r="Y195" s="48"/>
      <c r="Z195" s="48"/>
      <c r="AA195" s="48"/>
      <c r="AB195" s="48"/>
      <c r="AC195" s="48"/>
      <c r="AD195" s="48"/>
      <c r="AE195" s="48" t="str">
        <f t="shared" ref="AE195:AE258" si="40">VLOOKUP($E195,$Z$2:$AD$76,2,FALSE)</f>
        <v>省版</v>
      </c>
      <c r="AF195" s="48" t="str">
        <f t="shared" ref="AF195:AF258" si="41">VLOOKUP($E195,$Z$2:$AD$76,3,FALSE)</f>
        <v>2025/5/30</v>
      </c>
      <c r="AG195" s="48" t="str">
        <f t="shared" ref="AG195:AG258" si="42">VLOOKUP($E195,$Z$2:$AD$76,4,FALSE)</f>
        <v>2025/5/30</v>
      </c>
      <c r="AH195" s="48" t="str">
        <f t="shared" ref="AH195:AH258" si="43">VLOOKUP($E195,$Z$2:$AD$76,5,FALSE)</f>
        <v>已发证</v>
      </c>
      <c r="AI195" s="48"/>
      <c r="AJ195" s="48"/>
      <c r="AK195" s="48" t="s">
        <v>224</v>
      </c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</row>
    <row r="196" spans="1:63" ht="30" customHeight="1">
      <c r="A196" s="51">
        <v>195</v>
      </c>
      <c r="B196" s="52" t="s">
        <v>61</v>
      </c>
      <c r="C196" s="51">
        <f t="shared" si="39"/>
        <v>2022</v>
      </c>
      <c r="D196" s="53">
        <v>44873</v>
      </c>
      <c r="E196" s="52" t="s">
        <v>393</v>
      </c>
      <c r="F196" s="51" t="s">
        <v>37</v>
      </c>
      <c r="G196" s="51" t="s">
        <v>63</v>
      </c>
      <c r="H196" s="51">
        <v>7</v>
      </c>
      <c r="I196" s="51">
        <v>5</v>
      </c>
      <c r="J196" s="51"/>
      <c r="K196" s="51" t="str">
        <f>IF(H196=I196,"完结",IF(H196&gt;I196,"下载中"))</f>
        <v>下载中</v>
      </c>
      <c r="L196" s="51"/>
      <c r="M196" s="51"/>
      <c r="N196" s="51" t="s">
        <v>394</v>
      </c>
      <c r="O196" s="51" t="str">
        <f t="shared" si="38"/>
        <v>未</v>
      </c>
      <c r="P196" s="51"/>
      <c r="Q196" s="51"/>
      <c r="R196" s="51"/>
      <c r="S196" s="51"/>
      <c r="T196" s="51"/>
      <c r="U196" s="59"/>
      <c r="V196" s="51"/>
      <c r="W196" s="51"/>
      <c r="X196" s="51"/>
      <c r="Y196" s="51"/>
      <c r="Z196" s="51"/>
      <c r="AA196" s="51"/>
      <c r="AB196" s="51"/>
      <c r="AC196" s="51"/>
      <c r="AD196" s="51"/>
      <c r="AE196" s="51" t="e">
        <f t="shared" si="40"/>
        <v>#N/A</v>
      </c>
      <c r="AF196" s="51" t="e">
        <f t="shared" si="41"/>
        <v>#N/A</v>
      </c>
      <c r="AG196" s="51" t="e">
        <f t="shared" si="42"/>
        <v>#N/A</v>
      </c>
      <c r="AH196" s="51" t="e">
        <f t="shared" si="43"/>
        <v>#N/A</v>
      </c>
      <c r="AI196" s="51"/>
      <c r="AJ196" s="51"/>
      <c r="AK196" s="51" t="s">
        <v>44</v>
      </c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</row>
    <row r="197" spans="1:63" ht="30" customHeight="1">
      <c r="A197" s="54">
        <v>196</v>
      </c>
      <c r="B197" s="42" t="s">
        <v>35</v>
      </c>
      <c r="C197" s="54">
        <f t="shared" si="39"/>
        <v>2022</v>
      </c>
      <c r="D197" s="55">
        <v>44875</v>
      </c>
      <c r="E197" s="42" t="s">
        <v>395</v>
      </c>
      <c r="F197" s="54" t="s">
        <v>37</v>
      </c>
      <c r="G197" s="54" t="s">
        <v>47</v>
      </c>
      <c r="H197" s="54">
        <v>5</v>
      </c>
      <c r="I197" s="54">
        <v>2</v>
      </c>
      <c r="J197" s="54"/>
      <c r="K197" s="54" t="str">
        <f>IF(H197=I197,"完结",IF(H197&gt;I197,"下载中"))</f>
        <v>下载中</v>
      </c>
      <c r="L197" s="54">
        <v>1</v>
      </c>
      <c r="M197" s="54"/>
      <c r="N197" s="54" t="s">
        <v>394</v>
      </c>
      <c r="O197" s="54" t="str">
        <f t="shared" si="38"/>
        <v>未</v>
      </c>
      <c r="P197" s="54"/>
      <c r="Q197" s="54"/>
      <c r="R197" s="54"/>
      <c r="S197" s="54"/>
      <c r="T197" s="54"/>
      <c r="U197" s="59"/>
      <c r="V197" s="54"/>
      <c r="W197" s="54"/>
      <c r="X197" s="54"/>
      <c r="Y197" s="54"/>
      <c r="Z197" s="54"/>
      <c r="AA197" s="54"/>
      <c r="AB197" s="54"/>
      <c r="AC197" s="54"/>
      <c r="AD197" s="54"/>
      <c r="AE197" s="54" t="e">
        <f t="shared" si="40"/>
        <v>#N/A</v>
      </c>
      <c r="AF197" s="54" t="e">
        <f t="shared" si="41"/>
        <v>#N/A</v>
      </c>
      <c r="AG197" s="54" t="e">
        <f t="shared" si="42"/>
        <v>#N/A</v>
      </c>
      <c r="AH197" s="54" t="e">
        <f t="shared" si="43"/>
        <v>#N/A</v>
      </c>
      <c r="AI197" s="54"/>
      <c r="AJ197" s="54"/>
      <c r="AK197" s="54" t="s">
        <v>44</v>
      </c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54"/>
      <c r="BJ197" s="54"/>
      <c r="BK197" s="54"/>
    </row>
    <row r="198" spans="1:63" ht="30" customHeight="1">
      <c r="A198" s="51">
        <v>197</v>
      </c>
      <c r="B198" s="52" t="s">
        <v>61</v>
      </c>
      <c r="C198" s="51">
        <f t="shared" si="39"/>
        <v>2022</v>
      </c>
      <c r="D198" s="53">
        <v>44883</v>
      </c>
      <c r="E198" s="52" t="s">
        <v>396</v>
      </c>
      <c r="F198" s="51" t="s">
        <v>81</v>
      </c>
      <c r="G198" s="51" t="s">
        <v>57</v>
      </c>
      <c r="H198" s="51">
        <v>8</v>
      </c>
      <c r="I198" s="51">
        <v>5</v>
      </c>
      <c r="J198" s="51"/>
      <c r="K198" s="51" t="str">
        <f>IF(H198=I198,"完结",IF(H198&gt;I198,"下载中"))</f>
        <v>下载中</v>
      </c>
      <c r="L198" s="51"/>
      <c r="M198" s="51"/>
      <c r="N198" s="51"/>
      <c r="O198" s="51"/>
      <c r="P198" s="51"/>
      <c r="Q198" s="51"/>
      <c r="R198" s="51"/>
      <c r="S198" s="51"/>
      <c r="T198" s="51"/>
      <c r="U198" s="59"/>
      <c r="V198" s="51"/>
      <c r="W198" s="51"/>
      <c r="X198" s="51"/>
      <c r="Y198" s="51"/>
      <c r="Z198" s="51"/>
      <c r="AA198" s="51"/>
      <c r="AB198" s="51"/>
      <c r="AC198" s="51"/>
      <c r="AD198" s="51"/>
      <c r="AE198" s="51" t="e">
        <f t="shared" si="40"/>
        <v>#N/A</v>
      </c>
      <c r="AF198" s="51" t="e">
        <f t="shared" si="41"/>
        <v>#N/A</v>
      </c>
      <c r="AG198" s="51" t="e">
        <f t="shared" si="42"/>
        <v>#N/A</v>
      </c>
      <c r="AH198" s="51" t="e">
        <f t="shared" si="43"/>
        <v>#N/A</v>
      </c>
      <c r="AI198" s="51"/>
      <c r="AJ198" s="51"/>
      <c r="AK198" s="51" t="s">
        <v>44</v>
      </c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</row>
    <row r="199" spans="1:63" ht="30" customHeight="1">
      <c r="A199" s="45">
        <v>198</v>
      </c>
      <c r="B199" s="46" t="s">
        <v>151</v>
      </c>
      <c r="C199" s="45">
        <f t="shared" si="39"/>
        <v>2022</v>
      </c>
      <c r="D199" s="47">
        <v>44887</v>
      </c>
      <c r="E199" s="46" t="s">
        <v>397</v>
      </c>
      <c r="F199" s="45" t="s">
        <v>54</v>
      </c>
      <c r="G199" s="45" t="s">
        <v>57</v>
      </c>
      <c r="H199" s="45">
        <v>1</v>
      </c>
      <c r="I199" s="45">
        <v>1</v>
      </c>
      <c r="J199" s="45"/>
      <c r="K199" s="45" t="s">
        <v>140</v>
      </c>
      <c r="L199" s="45">
        <v>0</v>
      </c>
      <c r="M199" s="45"/>
      <c r="N199" s="45"/>
      <c r="O199" s="45" t="str">
        <f>IF(H199=L199,"完",IF(H199&gt;L199,"未"))</f>
        <v>未</v>
      </c>
      <c r="P199" s="45"/>
      <c r="Q199" s="45"/>
      <c r="R199" s="45"/>
      <c r="S199" s="45"/>
      <c r="T199" s="45" t="s">
        <v>398</v>
      </c>
      <c r="U199" s="58"/>
      <c r="V199" s="45"/>
      <c r="W199" s="45"/>
      <c r="X199" s="45"/>
      <c r="Y199" s="45"/>
      <c r="Z199" s="45"/>
      <c r="AA199" s="45"/>
      <c r="AB199" s="45"/>
      <c r="AC199" s="45"/>
      <c r="AD199" s="45"/>
      <c r="AE199" s="45" t="e">
        <f t="shared" si="40"/>
        <v>#N/A</v>
      </c>
      <c r="AF199" s="45" t="e">
        <f t="shared" si="41"/>
        <v>#N/A</v>
      </c>
      <c r="AG199" s="45" t="e">
        <f t="shared" si="42"/>
        <v>#N/A</v>
      </c>
      <c r="AH199" s="45" t="e">
        <f t="shared" si="43"/>
        <v>#N/A</v>
      </c>
      <c r="AI199" s="45"/>
      <c r="AJ199" s="45"/>
      <c r="AK199" s="45" t="s">
        <v>143</v>
      </c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45"/>
      <c r="BE199" s="45"/>
      <c r="BF199" s="45"/>
      <c r="BG199" s="45"/>
      <c r="BH199" s="45"/>
      <c r="BI199" s="45"/>
      <c r="BJ199" s="45"/>
      <c r="BK199" s="45"/>
    </row>
    <row r="200" spans="1:63" ht="30" customHeight="1">
      <c r="A200" s="51">
        <v>199</v>
      </c>
      <c r="B200" s="52" t="s">
        <v>170</v>
      </c>
      <c r="C200" s="51">
        <f t="shared" si="39"/>
        <v>2022</v>
      </c>
      <c r="D200" s="53">
        <v>44891</v>
      </c>
      <c r="E200" s="52" t="s">
        <v>399</v>
      </c>
      <c r="F200" s="51" t="s">
        <v>37</v>
      </c>
      <c r="G200" s="51" t="s">
        <v>57</v>
      </c>
      <c r="H200" s="51">
        <v>5</v>
      </c>
      <c r="I200" s="51">
        <v>5</v>
      </c>
      <c r="J200" s="51"/>
      <c r="K200" s="51" t="str">
        <f>IF(H200=I200,"完结",IF(H200&gt;I200,"未完结"))</f>
        <v>完结</v>
      </c>
      <c r="L200" s="51">
        <v>5</v>
      </c>
      <c r="M200" s="51"/>
      <c r="N200" s="51"/>
      <c r="O200" s="51" t="str">
        <f>IF(H200=L200,"完",IF(H200&gt;L200,"未"))</f>
        <v>完</v>
      </c>
      <c r="P200" s="51"/>
      <c r="Q200" s="51"/>
      <c r="R200" s="51"/>
      <c r="S200" s="51"/>
      <c r="T200" s="51"/>
      <c r="U200" s="59"/>
      <c r="V200" s="51"/>
      <c r="W200" s="51"/>
      <c r="X200" s="51"/>
      <c r="Y200" s="51"/>
      <c r="Z200" s="51"/>
      <c r="AA200" s="51"/>
      <c r="AB200" s="51"/>
      <c r="AC200" s="51"/>
      <c r="AD200" s="51"/>
      <c r="AE200" s="51" t="e">
        <f t="shared" si="40"/>
        <v>#N/A</v>
      </c>
      <c r="AF200" s="51" t="e">
        <f t="shared" si="41"/>
        <v>#N/A</v>
      </c>
      <c r="AG200" s="51" t="e">
        <f t="shared" si="42"/>
        <v>#N/A</v>
      </c>
      <c r="AH200" s="51" t="e">
        <f t="shared" si="43"/>
        <v>#N/A</v>
      </c>
      <c r="AI200" s="51"/>
      <c r="AJ200" s="51"/>
      <c r="AK200" s="51" t="s">
        <v>52</v>
      </c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</row>
    <row r="201" spans="1:63" ht="30" customHeight="1">
      <c r="A201" s="48">
        <v>200</v>
      </c>
      <c r="B201" s="49" t="s">
        <v>45</v>
      </c>
      <c r="C201" s="48">
        <f t="shared" si="39"/>
        <v>2022</v>
      </c>
      <c r="D201" s="50">
        <v>44897</v>
      </c>
      <c r="E201" s="49" t="s">
        <v>400</v>
      </c>
      <c r="F201" s="48" t="s">
        <v>48</v>
      </c>
      <c r="G201" s="48" t="s">
        <v>57</v>
      </c>
      <c r="H201" s="48">
        <v>64</v>
      </c>
      <c r="I201" s="48">
        <v>64</v>
      </c>
      <c r="J201" s="48"/>
      <c r="K201" s="48" t="str">
        <f>IF(H201=I201,"完结",IF(H201&gt;I201,"未完结"))</f>
        <v>完结</v>
      </c>
      <c r="L201" s="48">
        <v>0</v>
      </c>
      <c r="M201" s="48"/>
      <c r="N201" s="48"/>
      <c r="O201" s="48" t="str">
        <f>IF(H201=L201,"完",IF(H201&gt;L201,"未"))</f>
        <v>未</v>
      </c>
      <c r="P201" s="48"/>
      <c r="Q201" s="48"/>
      <c r="R201" s="48"/>
      <c r="S201" s="48"/>
      <c r="T201" s="48"/>
      <c r="U201" s="59"/>
      <c r="V201" s="48"/>
      <c r="W201" s="48"/>
      <c r="X201" s="48"/>
      <c r="Y201" s="48"/>
      <c r="Z201" s="48"/>
      <c r="AA201" s="48"/>
      <c r="AB201" s="48"/>
      <c r="AC201" s="48"/>
      <c r="AD201" s="48"/>
      <c r="AE201" s="48" t="e">
        <f t="shared" si="40"/>
        <v>#N/A</v>
      </c>
      <c r="AF201" s="48" t="e">
        <f t="shared" si="41"/>
        <v>#N/A</v>
      </c>
      <c r="AG201" s="48" t="e">
        <f t="shared" si="42"/>
        <v>#N/A</v>
      </c>
      <c r="AH201" s="48" t="e">
        <f t="shared" si="43"/>
        <v>#N/A</v>
      </c>
      <c r="AI201" s="48"/>
      <c r="AJ201" s="48"/>
      <c r="AK201" s="48" t="s">
        <v>52</v>
      </c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</row>
    <row r="202" spans="1:63" ht="30" customHeight="1">
      <c r="A202" s="51">
        <v>201</v>
      </c>
      <c r="B202" s="52" t="s">
        <v>49</v>
      </c>
      <c r="C202" s="51">
        <f t="shared" si="39"/>
        <v>2022</v>
      </c>
      <c r="D202" s="53">
        <v>44901</v>
      </c>
      <c r="E202" s="52" t="s">
        <v>401</v>
      </c>
      <c r="F202" s="51" t="s">
        <v>81</v>
      </c>
      <c r="G202" s="51" t="s">
        <v>57</v>
      </c>
      <c r="H202" s="51">
        <v>3</v>
      </c>
      <c r="I202" s="51">
        <v>3</v>
      </c>
      <c r="J202" s="51"/>
      <c r="K202" s="51" t="str">
        <f>IF(H202=I202,"完结",IF(H202&gt;I202,"未完结"))</f>
        <v>完结</v>
      </c>
      <c r="L202" s="51"/>
      <c r="M202" s="51"/>
      <c r="N202" s="51"/>
      <c r="O202" s="51"/>
      <c r="P202" s="51"/>
      <c r="Q202" s="51"/>
      <c r="R202" s="51"/>
      <c r="S202" s="51"/>
      <c r="T202" s="51"/>
      <c r="U202" s="59"/>
      <c r="V202" s="51"/>
      <c r="W202" s="51"/>
      <c r="X202" s="51"/>
      <c r="Y202" s="51"/>
      <c r="Z202" s="51"/>
      <c r="AA202" s="51"/>
      <c r="AB202" s="51"/>
      <c r="AC202" s="51"/>
      <c r="AD202" s="51"/>
      <c r="AE202" s="51" t="e">
        <f t="shared" si="40"/>
        <v>#N/A</v>
      </c>
      <c r="AF202" s="51" t="e">
        <f t="shared" si="41"/>
        <v>#N/A</v>
      </c>
      <c r="AG202" s="51" t="e">
        <f t="shared" si="42"/>
        <v>#N/A</v>
      </c>
      <c r="AH202" s="51" t="e">
        <f t="shared" si="43"/>
        <v>#N/A</v>
      </c>
      <c r="AI202" s="51"/>
      <c r="AJ202" s="61" t="s">
        <v>402</v>
      </c>
      <c r="AK202" s="51" t="s">
        <v>236</v>
      </c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</row>
    <row r="203" spans="1:63" ht="30" customHeight="1">
      <c r="A203" s="54">
        <v>202</v>
      </c>
      <c r="B203" s="42" t="s">
        <v>49</v>
      </c>
      <c r="C203" s="54">
        <f t="shared" si="39"/>
        <v>2022</v>
      </c>
      <c r="D203" s="55">
        <v>44902</v>
      </c>
      <c r="E203" s="42" t="s">
        <v>137</v>
      </c>
      <c r="F203" s="54" t="s">
        <v>81</v>
      </c>
      <c r="G203" s="54" t="s">
        <v>57</v>
      </c>
      <c r="H203" s="54">
        <v>4</v>
      </c>
      <c r="I203" s="54">
        <v>4</v>
      </c>
      <c r="J203" s="54"/>
      <c r="K203" s="54" t="str">
        <f>IF(H203=I203,"完结",IF(H203&gt;I203,"未完结"))</f>
        <v>完结</v>
      </c>
      <c r="L203" s="54"/>
      <c r="M203" s="54"/>
      <c r="N203" s="54"/>
      <c r="O203" s="54"/>
      <c r="P203" s="54" t="s">
        <v>40</v>
      </c>
      <c r="Q203" s="54" t="s">
        <v>67</v>
      </c>
      <c r="R203" s="54">
        <v>0</v>
      </c>
      <c r="S203" s="54">
        <v>0</v>
      </c>
      <c r="T203" s="54"/>
      <c r="U203" s="59"/>
      <c r="V203" s="54"/>
      <c r="W203" s="54"/>
      <c r="X203" s="54"/>
      <c r="Y203" s="54"/>
      <c r="Z203" s="54"/>
      <c r="AA203" s="54"/>
      <c r="AB203" s="54"/>
      <c r="AC203" s="54"/>
      <c r="AD203" s="54"/>
      <c r="AE203" s="54" t="str">
        <f t="shared" si="40"/>
        <v>省版</v>
      </c>
      <c r="AF203" s="54" t="str">
        <f t="shared" si="41"/>
        <v>2025/6/5</v>
      </c>
      <c r="AG203" s="54">
        <f t="shared" si="42"/>
        <v>0</v>
      </c>
      <c r="AH203" s="54">
        <f t="shared" si="43"/>
        <v>0</v>
      </c>
      <c r="AI203" s="54"/>
      <c r="AJ203" s="54"/>
      <c r="AK203" s="54" t="s">
        <v>236</v>
      </c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</row>
    <row r="204" spans="1:63" ht="30" customHeight="1">
      <c r="A204" s="51">
        <v>203</v>
      </c>
      <c r="B204" s="52" t="s">
        <v>45</v>
      </c>
      <c r="C204" s="51">
        <f t="shared" si="39"/>
        <v>2023</v>
      </c>
      <c r="D204" s="53">
        <v>44958</v>
      </c>
      <c r="E204" s="52" t="s">
        <v>403</v>
      </c>
      <c r="F204" s="51" t="s">
        <v>48</v>
      </c>
      <c r="G204" s="51" t="s">
        <v>63</v>
      </c>
      <c r="H204" s="51" t="s">
        <v>129</v>
      </c>
      <c r="I204" s="51">
        <v>5</v>
      </c>
      <c r="J204" s="51" t="s">
        <v>404</v>
      </c>
      <c r="K204" s="51" t="s">
        <v>140</v>
      </c>
      <c r="L204" s="51"/>
      <c r="M204" s="51"/>
      <c r="N204" s="51"/>
      <c r="O204" s="51"/>
      <c r="P204" s="51"/>
      <c r="Q204" s="51"/>
      <c r="R204" s="51"/>
      <c r="S204" s="51"/>
      <c r="T204" s="51"/>
      <c r="U204" s="59"/>
      <c r="V204" s="51"/>
      <c r="W204" s="51"/>
      <c r="X204" s="51"/>
      <c r="Y204" s="51"/>
      <c r="Z204" s="51"/>
      <c r="AA204" s="51"/>
      <c r="AB204" s="51"/>
      <c r="AC204" s="51"/>
      <c r="AD204" s="51"/>
      <c r="AE204" s="51" t="e">
        <f t="shared" si="40"/>
        <v>#N/A</v>
      </c>
      <c r="AF204" s="51" t="e">
        <f t="shared" si="41"/>
        <v>#N/A</v>
      </c>
      <c r="AG204" s="51" t="e">
        <f t="shared" si="42"/>
        <v>#N/A</v>
      </c>
      <c r="AH204" s="51" t="e">
        <f t="shared" si="43"/>
        <v>#N/A</v>
      </c>
      <c r="AI204" s="51"/>
      <c r="AJ204" s="51"/>
      <c r="AK204" s="51" t="s">
        <v>52</v>
      </c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</row>
    <row r="205" spans="1:63" ht="30" customHeight="1">
      <c r="A205" s="45">
        <v>204</v>
      </c>
      <c r="B205" s="46" t="s">
        <v>77</v>
      </c>
      <c r="C205" s="45">
        <f t="shared" si="39"/>
        <v>2023</v>
      </c>
      <c r="D205" s="47">
        <v>44965</v>
      </c>
      <c r="E205" s="46" t="s">
        <v>405</v>
      </c>
      <c r="F205" s="45" t="s">
        <v>54</v>
      </c>
      <c r="G205" s="45" t="s">
        <v>57</v>
      </c>
      <c r="H205" s="45">
        <v>6</v>
      </c>
      <c r="I205" s="45">
        <v>6</v>
      </c>
      <c r="J205" s="45"/>
      <c r="K205" s="45" t="str">
        <f>IF(H205=I205,"完结",IF(H205&gt;I205,"未完结"))</f>
        <v>完结</v>
      </c>
      <c r="L205" s="45"/>
      <c r="M205" s="45"/>
      <c r="N205" s="45"/>
      <c r="O205" s="45"/>
      <c r="P205" s="45"/>
      <c r="Q205" s="45"/>
      <c r="R205" s="45"/>
      <c r="S205" s="45"/>
      <c r="T205" s="45"/>
      <c r="U205" s="58"/>
      <c r="V205" s="45"/>
      <c r="W205" s="45"/>
      <c r="X205" s="45"/>
      <c r="Y205" s="45"/>
      <c r="Z205" s="45"/>
      <c r="AA205" s="45"/>
      <c r="AB205" s="45"/>
      <c r="AC205" s="45"/>
      <c r="AD205" s="45"/>
      <c r="AE205" s="45" t="e">
        <f t="shared" si="40"/>
        <v>#N/A</v>
      </c>
      <c r="AF205" s="45" t="e">
        <f t="shared" si="41"/>
        <v>#N/A</v>
      </c>
      <c r="AG205" s="45" t="e">
        <f t="shared" si="42"/>
        <v>#N/A</v>
      </c>
      <c r="AH205" s="45" t="e">
        <f t="shared" si="43"/>
        <v>#N/A</v>
      </c>
      <c r="AI205" s="45"/>
      <c r="AJ205" s="45"/>
      <c r="AK205" s="45" t="s">
        <v>236</v>
      </c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45"/>
      <c r="BE205" s="45"/>
      <c r="BF205" s="45"/>
      <c r="BG205" s="45"/>
      <c r="BH205" s="45"/>
      <c r="BI205" s="45"/>
      <c r="BJ205" s="45"/>
      <c r="BK205" s="45"/>
    </row>
    <row r="206" spans="1:63" ht="30" customHeight="1">
      <c r="A206" s="51">
        <v>205</v>
      </c>
      <c r="B206" s="52" t="s">
        <v>161</v>
      </c>
      <c r="C206" s="51">
        <f t="shared" si="39"/>
        <v>2023</v>
      </c>
      <c r="D206" s="53">
        <v>44979</v>
      </c>
      <c r="E206" s="52" t="s">
        <v>406</v>
      </c>
      <c r="F206" s="51" t="s">
        <v>10</v>
      </c>
      <c r="G206" s="51" t="s">
        <v>57</v>
      </c>
      <c r="H206" s="51">
        <v>3</v>
      </c>
      <c r="I206" s="51">
        <v>3</v>
      </c>
      <c r="J206" s="51"/>
      <c r="K206" s="51" t="str">
        <f>IF(H206=I206,"完结",IF(H206&gt;I206,"未完结"))</f>
        <v>完结</v>
      </c>
      <c r="L206" s="51"/>
      <c r="M206" s="51"/>
      <c r="N206" s="51"/>
      <c r="O206" s="51"/>
      <c r="P206" s="51"/>
      <c r="Q206" s="51"/>
      <c r="R206" s="51"/>
      <c r="S206" s="51"/>
      <c r="T206" s="51"/>
      <c r="U206" s="59"/>
      <c r="V206" s="51"/>
      <c r="W206" s="51"/>
      <c r="X206" s="51"/>
      <c r="Y206" s="51"/>
      <c r="Z206" s="51"/>
      <c r="AA206" s="51"/>
      <c r="AB206" s="51"/>
      <c r="AC206" s="51"/>
      <c r="AD206" s="51"/>
      <c r="AE206" s="51" t="e">
        <f t="shared" si="40"/>
        <v>#N/A</v>
      </c>
      <c r="AF206" s="51" t="e">
        <f t="shared" si="41"/>
        <v>#N/A</v>
      </c>
      <c r="AG206" s="51" t="e">
        <f t="shared" si="42"/>
        <v>#N/A</v>
      </c>
      <c r="AH206" s="51" t="e">
        <f t="shared" si="43"/>
        <v>#N/A</v>
      </c>
      <c r="AI206" s="51"/>
      <c r="AJ206" s="51"/>
      <c r="AK206" s="51" t="s">
        <v>330</v>
      </c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</row>
    <row r="207" spans="1:63" ht="30" customHeight="1">
      <c r="A207" s="48">
        <v>206</v>
      </c>
      <c r="B207" s="49" t="s">
        <v>45</v>
      </c>
      <c r="C207" s="48">
        <f t="shared" si="39"/>
        <v>2023</v>
      </c>
      <c r="D207" s="50">
        <v>44981</v>
      </c>
      <c r="E207" s="49" t="s">
        <v>407</v>
      </c>
      <c r="F207" s="48" t="s">
        <v>107</v>
      </c>
      <c r="G207" s="48" t="s">
        <v>55</v>
      </c>
      <c r="H207" s="48" t="s">
        <v>107</v>
      </c>
      <c r="I207" s="48"/>
      <c r="J207" s="48"/>
      <c r="K207" s="48" t="str">
        <f>IF(H207=I207,"完结",IF(H207&gt;I207,"下载中"))</f>
        <v>下载中</v>
      </c>
      <c r="L207" s="48"/>
      <c r="M207" s="48"/>
      <c r="N207" s="48"/>
      <c r="O207" s="48"/>
      <c r="P207" s="48"/>
      <c r="Q207" s="48"/>
      <c r="R207" s="48"/>
      <c r="S207" s="48"/>
      <c r="T207" s="48"/>
      <c r="U207" s="59"/>
      <c r="V207" s="48"/>
      <c r="W207" s="48"/>
      <c r="X207" s="48"/>
      <c r="Y207" s="48"/>
      <c r="Z207" s="48"/>
      <c r="AA207" s="48"/>
      <c r="AB207" s="48"/>
      <c r="AC207" s="48"/>
      <c r="AD207" s="48"/>
      <c r="AE207" s="48" t="e">
        <f t="shared" si="40"/>
        <v>#N/A</v>
      </c>
      <c r="AF207" s="48" t="e">
        <f t="shared" si="41"/>
        <v>#N/A</v>
      </c>
      <c r="AG207" s="48" t="e">
        <f t="shared" si="42"/>
        <v>#N/A</v>
      </c>
      <c r="AH207" s="48" t="e">
        <f t="shared" si="43"/>
        <v>#N/A</v>
      </c>
      <c r="AI207" s="48"/>
      <c r="AJ207" s="48"/>
      <c r="AK207" s="48" t="s">
        <v>52</v>
      </c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</row>
    <row r="208" spans="1:63" ht="30" customHeight="1">
      <c r="A208" s="51">
        <v>207</v>
      </c>
      <c r="B208" s="52" t="s">
        <v>77</v>
      </c>
      <c r="C208" s="51">
        <f t="shared" si="39"/>
        <v>2023</v>
      </c>
      <c r="D208" s="53">
        <v>44982</v>
      </c>
      <c r="E208" s="52" t="s">
        <v>408</v>
      </c>
      <c r="F208" s="51" t="s">
        <v>107</v>
      </c>
      <c r="G208" s="51" t="s">
        <v>55</v>
      </c>
      <c r="H208" s="51"/>
      <c r="I208" s="51"/>
      <c r="J208" s="51"/>
      <c r="K208" s="51" t="s">
        <v>140</v>
      </c>
      <c r="L208" s="51"/>
      <c r="M208" s="51"/>
      <c r="N208" s="51"/>
      <c r="O208" s="51"/>
      <c r="P208" s="51"/>
      <c r="Q208" s="51"/>
      <c r="R208" s="51"/>
      <c r="S208" s="51"/>
      <c r="T208" s="51"/>
      <c r="U208" s="59"/>
      <c r="V208" s="51"/>
      <c r="W208" s="51"/>
      <c r="X208" s="51"/>
      <c r="Y208" s="51"/>
      <c r="Z208" s="51"/>
      <c r="AA208" s="51"/>
      <c r="AB208" s="51"/>
      <c r="AC208" s="51"/>
      <c r="AD208" s="51"/>
      <c r="AE208" s="51" t="e">
        <f t="shared" si="40"/>
        <v>#N/A</v>
      </c>
      <c r="AF208" s="51" t="e">
        <f t="shared" si="41"/>
        <v>#N/A</v>
      </c>
      <c r="AG208" s="51" t="e">
        <f t="shared" si="42"/>
        <v>#N/A</v>
      </c>
      <c r="AH208" s="51" t="e">
        <f t="shared" si="43"/>
        <v>#N/A</v>
      </c>
      <c r="AI208" s="51"/>
      <c r="AJ208" s="51"/>
      <c r="AK208" s="51" t="s">
        <v>143</v>
      </c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</row>
    <row r="209" spans="1:63" ht="30" customHeight="1">
      <c r="A209" s="54">
        <v>208</v>
      </c>
      <c r="B209" s="42" t="s">
        <v>161</v>
      </c>
      <c r="C209" s="54">
        <f t="shared" si="39"/>
        <v>2023</v>
      </c>
      <c r="D209" s="55">
        <v>44992</v>
      </c>
      <c r="E209" s="42" t="s">
        <v>257</v>
      </c>
      <c r="F209" s="54" t="s">
        <v>10</v>
      </c>
      <c r="G209" s="54" t="s">
        <v>63</v>
      </c>
      <c r="H209" s="54">
        <v>5</v>
      </c>
      <c r="I209" s="54">
        <v>5</v>
      </c>
      <c r="J209" s="54"/>
      <c r="K209" s="54" t="str">
        <f>IF(H209=I209,"完结",IF(H209&gt;I209,"未完结"))</f>
        <v>完结</v>
      </c>
      <c r="L209" s="54"/>
      <c r="M209" s="54"/>
      <c r="N209" s="54"/>
      <c r="O209" s="54"/>
      <c r="P209" s="54">
        <v>0</v>
      </c>
      <c r="Q209" s="54" t="s">
        <v>172</v>
      </c>
      <c r="R209" s="54">
        <v>0</v>
      </c>
      <c r="S209" s="54" t="s">
        <v>258</v>
      </c>
      <c r="T209" s="54"/>
      <c r="U209" s="59"/>
      <c r="V209" s="54"/>
      <c r="W209" s="54"/>
      <c r="X209" s="54"/>
      <c r="Y209" s="54"/>
      <c r="Z209" s="54"/>
      <c r="AA209" s="54"/>
      <c r="AB209" s="54"/>
      <c r="AC209" s="54"/>
      <c r="AD209" s="54"/>
      <c r="AE209" s="54">
        <f t="shared" si="40"/>
        <v>0</v>
      </c>
      <c r="AF209" s="54" t="str">
        <f t="shared" si="41"/>
        <v>2025/5/27</v>
      </c>
      <c r="AG209" s="54">
        <f t="shared" si="42"/>
        <v>0</v>
      </c>
      <c r="AH209" s="54" t="str">
        <f t="shared" si="43"/>
        <v>省版登记被驳回</v>
      </c>
      <c r="AI209" s="54"/>
      <c r="AJ209" s="54"/>
      <c r="AK209" s="54" t="s">
        <v>44</v>
      </c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</row>
    <row r="210" spans="1:63" ht="30" customHeight="1">
      <c r="A210" s="51">
        <v>209</v>
      </c>
      <c r="B210" s="52" t="s">
        <v>161</v>
      </c>
      <c r="C210" s="51">
        <f t="shared" si="39"/>
        <v>2023</v>
      </c>
      <c r="D210" s="53">
        <v>45027</v>
      </c>
      <c r="E210" s="52" t="s">
        <v>409</v>
      </c>
      <c r="F210" s="51" t="s">
        <v>10</v>
      </c>
      <c r="G210" s="51" t="s">
        <v>63</v>
      </c>
      <c r="H210" s="51" t="s">
        <v>410</v>
      </c>
      <c r="I210" s="51" t="s">
        <v>410</v>
      </c>
      <c r="J210" s="51"/>
      <c r="K210" s="51" t="s">
        <v>108</v>
      </c>
      <c r="L210" s="51"/>
      <c r="M210" s="51"/>
      <c r="N210" s="51"/>
      <c r="O210" s="51"/>
      <c r="P210" s="51"/>
      <c r="Q210" s="51"/>
      <c r="R210" s="51"/>
      <c r="S210" s="51"/>
      <c r="T210" s="51"/>
      <c r="U210" s="59"/>
      <c r="V210" s="51"/>
      <c r="W210" s="51"/>
      <c r="X210" s="51"/>
      <c r="Y210" s="51"/>
      <c r="Z210" s="51"/>
      <c r="AA210" s="51"/>
      <c r="AB210" s="51"/>
      <c r="AC210" s="51"/>
      <c r="AD210" s="51"/>
      <c r="AE210" s="51" t="e">
        <f t="shared" si="40"/>
        <v>#N/A</v>
      </c>
      <c r="AF210" s="51" t="e">
        <f t="shared" si="41"/>
        <v>#N/A</v>
      </c>
      <c r="AG210" s="51" t="e">
        <f t="shared" si="42"/>
        <v>#N/A</v>
      </c>
      <c r="AH210" s="51" t="e">
        <f t="shared" si="43"/>
        <v>#N/A</v>
      </c>
      <c r="AI210" s="51"/>
      <c r="AJ210" s="51"/>
      <c r="AK210" s="51" t="s">
        <v>44</v>
      </c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</row>
    <row r="211" spans="1:63" ht="30" customHeight="1">
      <c r="A211" s="45">
        <v>210</v>
      </c>
      <c r="B211" s="46" t="s">
        <v>35</v>
      </c>
      <c r="C211" s="45">
        <f t="shared" si="39"/>
        <v>2023</v>
      </c>
      <c r="D211" s="47">
        <v>45033</v>
      </c>
      <c r="E211" s="46" t="s">
        <v>411</v>
      </c>
      <c r="F211" s="45" t="s">
        <v>54</v>
      </c>
      <c r="G211" s="45" t="s">
        <v>47</v>
      </c>
      <c r="H211" s="45">
        <v>5</v>
      </c>
      <c r="I211" s="45">
        <v>5</v>
      </c>
      <c r="J211" s="45"/>
      <c r="K211" s="45" t="str">
        <f>IF(H211=I211,"完结",IF(H211&gt;I211,"未完结"))</f>
        <v>完结</v>
      </c>
      <c r="L211" s="45"/>
      <c r="M211" s="45"/>
      <c r="N211" s="45"/>
      <c r="O211" s="45"/>
      <c r="P211" s="45"/>
      <c r="Q211" s="45"/>
      <c r="R211" s="45"/>
      <c r="S211" s="45"/>
      <c r="T211" s="45"/>
      <c r="U211" s="58"/>
      <c r="V211" s="45"/>
      <c r="W211" s="45"/>
      <c r="X211" s="45"/>
      <c r="Y211" s="45"/>
      <c r="Z211" s="45"/>
      <c r="AA211" s="45"/>
      <c r="AB211" s="45"/>
      <c r="AC211" s="45"/>
      <c r="AD211" s="45"/>
      <c r="AE211" s="45" t="e">
        <f t="shared" si="40"/>
        <v>#N/A</v>
      </c>
      <c r="AF211" s="45" t="e">
        <f t="shared" si="41"/>
        <v>#N/A</v>
      </c>
      <c r="AG211" s="45" t="e">
        <f t="shared" si="42"/>
        <v>#N/A</v>
      </c>
      <c r="AH211" s="45" t="e">
        <f t="shared" si="43"/>
        <v>#N/A</v>
      </c>
      <c r="AI211" s="45"/>
      <c r="AJ211" s="45"/>
      <c r="AK211" s="45" t="s">
        <v>44</v>
      </c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</row>
    <row r="212" spans="1:63" ht="30" customHeight="1">
      <c r="A212" s="51">
        <v>211</v>
      </c>
      <c r="B212" s="52" t="s">
        <v>58</v>
      </c>
      <c r="C212" s="51">
        <f t="shared" si="39"/>
        <v>2023</v>
      </c>
      <c r="D212" s="53">
        <v>45035</v>
      </c>
      <c r="E212" s="52" t="s">
        <v>244</v>
      </c>
      <c r="F212" s="51" t="s">
        <v>37</v>
      </c>
      <c r="G212" s="51" t="s">
        <v>57</v>
      </c>
      <c r="H212" s="51">
        <v>4</v>
      </c>
      <c r="I212" s="51">
        <v>4</v>
      </c>
      <c r="J212" s="51"/>
      <c r="K212" s="51" t="str">
        <f>IF(H212=I212,"完结",IF(H212&gt;I212,"未完结"))</f>
        <v>完结</v>
      </c>
      <c r="L212" s="51"/>
      <c r="M212" s="51"/>
      <c r="N212" s="51"/>
      <c r="O212" s="51"/>
      <c r="P212" s="51" t="s">
        <v>166</v>
      </c>
      <c r="Q212" s="51" t="s">
        <v>245</v>
      </c>
      <c r="R212" s="51" t="s">
        <v>246</v>
      </c>
      <c r="S212" s="51" t="s">
        <v>43</v>
      </c>
      <c r="T212" s="51"/>
      <c r="U212" s="59"/>
      <c r="V212" s="51"/>
      <c r="W212" s="51"/>
      <c r="X212" s="51"/>
      <c r="Y212" s="51"/>
      <c r="Z212" s="51"/>
      <c r="AA212" s="51"/>
      <c r="AB212" s="51"/>
      <c r="AC212" s="51"/>
      <c r="AD212" s="51"/>
      <c r="AE212" s="51" t="str">
        <f t="shared" si="40"/>
        <v>国版</v>
      </c>
      <c r="AF212" s="51" t="str">
        <f t="shared" si="41"/>
        <v>2025/5/14</v>
      </c>
      <c r="AG212" s="51" t="str">
        <f t="shared" si="42"/>
        <v>2025/5/15</v>
      </c>
      <c r="AH212" s="51" t="str">
        <f t="shared" si="43"/>
        <v>已发证</v>
      </c>
      <c r="AI212" s="51"/>
      <c r="AJ212" s="51"/>
      <c r="AK212" s="51" t="s">
        <v>76</v>
      </c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</row>
    <row r="213" spans="1:63" ht="30" customHeight="1">
      <c r="A213" s="48">
        <v>212</v>
      </c>
      <c r="B213" s="49" t="s">
        <v>105</v>
      </c>
      <c r="C213" s="48">
        <f t="shared" si="39"/>
        <v>2023</v>
      </c>
      <c r="D213" s="50">
        <v>45036</v>
      </c>
      <c r="E213" s="49" t="s">
        <v>412</v>
      </c>
      <c r="F213" s="48" t="s">
        <v>48</v>
      </c>
      <c r="G213" s="48" t="s">
        <v>63</v>
      </c>
      <c r="H213" s="48">
        <v>6</v>
      </c>
      <c r="I213" s="48">
        <v>6</v>
      </c>
      <c r="J213" s="48"/>
      <c r="K213" s="48" t="str">
        <f>IF(H213=I213,"完结",IF(H213&gt;I213,"未完结"))</f>
        <v>完结</v>
      </c>
      <c r="L213" s="48"/>
      <c r="M213" s="48"/>
      <c r="N213" s="48"/>
      <c r="O213" s="48"/>
      <c r="P213" s="48"/>
      <c r="Q213" s="48"/>
      <c r="R213" s="48"/>
      <c r="S213" s="48"/>
      <c r="T213" s="48"/>
      <c r="U213" s="59"/>
      <c r="V213" s="48"/>
      <c r="W213" s="48"/>
      <c r="X213" s="48"/>
      <c r="Y213" s="48"/>
      <c r="Z213" s="48"/>
      <c r="AA213" s="48"/>
      <c r="AB213" s="48"/>
      <c r="AC213" s="48"/>
      <c r="AD213" s="48"/>
      <c r="AE213" s="48" t="e">
        <f t="shared" si="40"/>
        <v>#N/A</v>
      </c>
      <c r="AF213" s="48" t="e">
        <f t="shared" si="41"/>
        <v>#N/A</v>
      </c>
      <c r="AG213" s="48" t="e">
        <f t="shared" si="42"/>
        <v>#N/A</v>
      </c>
      <c r="AH213" s="48" t="e">
        <f t="shared" si="43"/>
        <v>#N/A</v>
      </c>
      <c r="AI213" s="48"/>
      <c r="AJ213" s="48"/>
      <c r="AK213" s="48" t="s">
        <v>113</v>
      </c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</row>
    <row r="214" spans="1:63" ht="30" customHeight="1">
      <c r="A214" s="51">
        <v>213</v>
      </c>
      <c r="B214" s="52" t="s">
        <v>58</v>
      </c>
      <c r="C214" s="51">
        <f t="shared" si="39"/>
        <v>2023</v>
      </c>
      <c r="D214" s="53">
        <v>45036</v>
      </c>
      <c r="E214" s="52" t="s">
        <v>248</v>
      </c>
      <c r="F214" s="51" t="s">
        <v>37</v>
      </c>
      <c r="G214" s="51" t="s">
        <v>57</v>
      </c>
      <c r="H214" s="51">
        <v>4</v>
      </c>
      <c r="I214" s="51">
        <v>4</v>
      </c>
      <c r="J214" s="51"/>
      <c r="K214" s="51" t="str">
        <f>IF(H214=I214,"完结",IF(H214&gt;I214,"未完结"))</f>
        <v>完结</v>
      </c>
      <c r="L214" s="51"/>
      <c r="M214" s="51"/>
      <c r="N214" s="51"/>
      <c r="O214" s="51"/>
      <c r="P214" s="51" t="s">
        <v>166</v>
      </c>
      <c r="Q214" s="51" t="s">
        <v>249</v>
      </c>
      <c r="R214" s="51" t="s">
        <v>249</v>
      </c>
      <c r="S214" s="51" t="s">
        <v>43</v>
      </c>
      <c r="T214" s="51"/>
      <c r="U214" s="59"/>
      <c r="V214" s="51"/>
      <c r="W214" s="51"/>
      <c r="X214" s="51"/>
      <c r="Y214" s="51"/>
      <c r="Z214" s="51"/>
      <c r="AA214" s="51"/>
      <c r="AB214" s="51"/>
      <c r="AC214" s="51"/>
      <c r="AD214" s="51"/>
      <c r="AE214" s="51" t="str">
        <f t="shared" si="40"/>
        <v>国版</v>
      </c>
      <c r="AF214" s="51" t="str">
        <f t="shared" si="41"/>
        <v>2025/5/26</v>
      </c>
      <c r="AG214" s="51" t="str">
        <f t="shared" si="42"/>
        <v>2025/5/26</v>
      </c>
      <c r="AH214" s="51" t="str">
        <f t="shared" si="43"/>
        <v>已发证</v>
      </c>
      <c r="AI214" s="51"/>
      <c r="AJ214" s="51"/>
      <c r="AK214" s="51" t="s">
        <v>113</v>
      </c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</row>
    <row r="215" spans="1:63" ht="30" customHeight="1">
      <c r="A215" s="54">
        <v>214</v>
      </c>
      <c r="B215" s="42" t="s">
        <v>58</v>
      </c>
      <c r="C215" s="54">
        <f t="shared" si="39"/>
        <v>2023</v>
      </c>
      <c r="D215" s="55">
        <v>45036</v>
      </c>
      <c r="E215" s="42" t="s">
        <v>413</v>
      </c>
      <c r="F215" s="54" t="s">
        <v>107</v>
      </c>
      <c r="G215" s="54" t="s">
        <v>47</v>
      </c>
      <c r="H215" s="54" t="s">
        <v>410</v>
      </c>
      <c r="I215" s="54" t="s">
        <v>410</v>
      </c>
      <c r="J215" s="54"/>
      <c r="K215" s="54" t="s">
        <v>108</v>
      </c>
      <c r="L215" s="54"/>
      <c r="M215" s="54"/>
      <c r="N215" s="54"/>
      <c r="O215" s="54"/>
      <c r="P215" s="54"/>
      <c r="Q215" s="54"/>
      <c r="R215" s="54"/>
      <c r="S215" s="54"/>
      <c r="T215" s="54"/>
      <c r="U215" s="59"/>
      <c r="V215" s="54"/>
      <c r="W215" s="54"/>
      <c r="X215" s="54"/>
      <c r="Y215" s="54"/>
      <c r="Z215" s="54"/>
      <c r="AA215" s="54"/>
      <c r="AB215" s="54"/>
      <c r="AC215" s="54"/>
      <c r="AD215" s="54"/>
      <c r="AE215" s="54" t="e">
        <f t="shared" si="40"/>
        <v>#N/A</v>
      </c>
      <c r="AF215" s="54" t="e">
        <f t="shared" si="41"/>
        <v>#N/A</v>
      </c>
      <c r="AG215" s="54" t="e">
        <f t="shared" si="42"/>
        <v>#N/A</v>
      </c>
      <c r="AH215" s="54" t="e">
        <f t="shared" si="43"/>
        <v>#N/A</v>
      </c>
      <c r="AI215" s="54"/>
      <c r="AJ215" s="54"/>
      <c r="AK215" s="54" t="s">
        <v>113</v>
      </c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  <c r="AX215" s="54"/>
      <c r="AY215" s="54"/>
      <c r="AZ215" s="54"/>
      <c r="BA215" s="54"/>
      <c r="BB215" s="54"/>
      <c r="BC215" s="54"/>
      <c r="BD215" s="54"/>
      <c r="BE215" s="54"/>
      <c r="BF215" s="54"/>
      <c r="BG215" s="54"/>
      <c r="BH215" s="54"/>
      <c r="BI215" s="54"/>
      <c r="BJ215" s="54"/>
      <c r="BK215" s="54"/>
    </row>
    <row r="216" spans="1:63" ht="30" customHeight="1">
      <c r="A216" s="51">
        <v>215</v>
      </c>
      <c r="B216" s="52" t="s">
        <v>58</v>
      </c>
      <c r="C216" s="51">
        <f t="shared" si="39"/>
        <v>2023</v>
      </c>
      <c r="D216" s="53">
        <v>45040</v>
      </c>
      <c r="E216" s="52" t="s">
        <v>260</v>
      </c>
      <c r="F216" s="51" t="s">
        <v>37</v>
      </c>
      <c r="G216" s="51" t="s">
        <v>57</v>
      </c>
      <c r="H216" s="51">
        <v>8</v>
      </c>
      <c r="I216" s="51">
        <v>8</v>
      </c>
      <c r="J216" s="51"/>
      <c r="K216" s="51" t="str">
        <f>IF(H216=I216,"完结",IF(H216&gt;I216,"未完结"))</f>
        <v>完结</v>
      </c>
      <c r="L216" s="51"/>
      <c r="M216" s="51"/>
      <c r="N216" s="51"/>
      <c r="O216" s="51"/>
      <c r="P216" s="51" t="s">
        <v>166</v>
      </c>
      <c r="Q216" s="51" t="s">
        <v>172</v>
      </c>
      <c r="R216" s="51" t="s">
        <v>173</v>
      </c>
      <c r="S216" s="51" t="s">
        <v>43</v>
      </c>
      <c r="T216" s="51"/>
      <c r="U216" s="59"/>
      <c r="V216" s="51"/>
      <c r="W216" s="51"/>
      <c r="X216" s="51"/>
      <c r="Y216" s="51"/>
      <c r="Z216" s="51"/>
      <c r="AA216" s="51"/>
      <c r="AB216" s="51"/>
      <c r="AC216" s="51"/>
      <c r="AD216" s="51"/>
      <c r="AE216" s="51" t="str">
        <f t="shared" si="40"/>
        <v>国版</v>
      </c>
      <c r="AF216" s="51" t="str">
        <f t="shared" si="41"/>
        <v>2025/5/27</v>
      </c>
      <c r="AG216" s="51" t="str">
        <f t="shared" si="42"/>
        <v>2025/5/28</v>
      </c>
      <c r="AH216" s="51" t="str">
        <f t="shared" si="43"/>
        <v>已发证</v>
      </c>
      <c r="AI216" s="51"/>
      <c r="AJ216" s="51"/>
      <c r="AK216" s="51" t="s">
        <v>76</v>
      </c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</row>
    <row r="217" spans="1:63" ht="30" customHeight="1">
      <c r="A217" s="45">
        <v>216</v>
      </c>
      <c r="B217" s="46" t="s">
        <v>105</v>
      </c>
      <c r="C217" s="45">
        <f t="shared" si="39"/>
        <v>2023</v>
      </c>
      <c r="D217" s="47">
        <v>45045</v>
      </c>
      <c r="E217" s="46" t="s">
        <v>414</v>
      </c>
      <c r="F217" s="45" t="s">
        <v>48</v>
      </c>
      <c r="G217" s="45" t="s">
        <v>148</v>
      </c>
      <c r="H217" s="45">
        <v>8</v>
      </c>
      <c r="I217" s="45">
        <v>8</v>
      </c>
      <c r="J217" s="45"/>
      <c r="K217" s="45" t="str">
        <f>IF(H217=I217,"完结",IF(H217&gt;I217,"未完结"))</f>
        <v>完结</v>
      </c>
      <c r="L217" s="45"/>
      <c r="M217" s="45"/>
      <c r="N217" s="45"/>
      <c r="O217" s="45"/>
      <c r="P217" s="45"/>
      <c r="Q217" s="45"/>
      <c r="R217" s="45"/>
      <c r="S217" s="45"/>
      <c r="T217" s="45"/>
      <c r="U217" s="58"/>
      <c r="V217" s="45"/>
      <c r="W217" s="45"/>
      <c r="X217" s="45"/>
      <c r="Y217" s="45"/>
      <c r="Z217" s="45"/>
      <c r="AA217" s="45"/>
      <c r="AB217" s="45"/>
      <c r="AC217" s="45"/>
      <c r="AD217" s="45"/>
      <c r="AE217" s="45" t="e">
        <f t="shared" si="40"/>
        <v>#N/A</v>
      </c>
      <c r="AF217" s="45" t="e">
        <f t="shared" si="41"/>
        <v>#N/A</v>
      </c>
      <c r="AG217" s="45" t="e">
        <f t="shared" si="42"/>
        <v>#N/A</v>
      </c>
      <c r="AH217" s="45" t="e">
        <f t="shared" si="43"/>
        <v>#N/A</v>
      </c>
      <c r="AI217" s="45"/>
      <c r="AJ217" s="45"/>
      <c r="AK217" s="45" t="s">
        <v>113</v>
      </c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45"/>
      <c r="BE217" s="45"/>
      <c r="BF217" s="45"/>
      <c r="BG217" s="45"/>
      <c r="BH217" s="45"/>
      <c r="BI217" s="45"/>
      <c r="BJ217" s="45"/>
      <c r="BK217" s="45"/>
    </row>
    <row r="218" spans="1:63" ht="30" customHeight="1">
      <c r="A218" s="51">
        <v>217</v>
      </c>
      <c r="B218" s="52" t="s">
        <v>49</v>
      </c>
      <c r="C218" s="51">
        <f t="shared" si="39"/>
        <v>2023</v>
      </c>
      <c r="D218" s="53">
        <v>45046</v>
      </c>
      <c r="E218" s="52" t="s">
        <v>415</v>
      </c>
      <c r="F218" s="51" t="s">
        <v>37</v>
      </c>
      <c r="G218" s="51" t="s">
        <v>57</v>
      </c>
      <c r="H218" s="51">
        <v>17</v>
      </c>
      <c r="I218" s="51">
        <v>17</v>
      </c>
      <c r="J218" s="51"/>
      <c r="K218" s="51" t="str">
        <f>IF(H218=I218,"完结",IF(H218&gt;I218,"未"))</f>
        <v>完结</v>
      </c>
      <c r="L218" s="51"/>
      <c r="M218" s="51"/>
      <c r="N218" s="51"/>
      <c r="O218" s="51"/>
      <c r="P218" s="51" t="s">
        <v>166</v>
      </c>
      <c r="Q218" s="51" t="s">
        <v>167</v>
      </c>
      <c r="R218" s="51" t="s">
        <v>168</v>
      </c>
      <c r="S218" s="51" t="s">
        <v>43</v>
      </c>
      <c r="T218" s="51"/>
      <c r="U218" s="59"/>
      <c r="V218" s="51"/>
      <c r="W218" s="51"/>
      <c r="X218" s="51"/>
      <c r="Y218" s="51"/>
      <c r="Z218" s="51"/>
      <c r="AA218" s="51"/>
      <c r="AB218" s="51"/>
      <c r="AC218" s="51"/>
      <c r="AD218" s="51"/>
      <c r="AE218" s="51" t="str">
        <f t="shared" si="40"/>
        <v>国版</v>
      </c>
      <c r="AF218" s="51" t="str">
        <f t="shared" si="41"/>
        <v>2025/4/29</v>
      </c>
      <c r="AG218" s="51" t="str">
        <f t="shared" si="42"/>
        <v>2025/4/30</v>
      </c>
      <c r="AH218" s="51" t="str">
        <f t="shared" si="43"/>
        <v>已发证</v>
      </c>
      <c r="AI218" s="51"/>
      <c r="AJ218" s="51"/>
      <c r="AK218" s="51" t="s">
        <v>224</v>
      </c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</row>
    <row r="219" spans="1:63" ht="30" customHeight="1">
      <c r="A219" s="48">
        <v>218</v>
      </c>
      <c r="B219" s="49" t="s">
        <v>151</v>
      </c>
      <c r="C219" s="48">
        <f t="shared" si="39"/>
        <v>2023</v>
      </c>
      <c r="D219" s="50">
        <v>45054</v>
      </c>
      <c r="E219" s="49" t="s">
        <v>255</v>
      </c>
      <c r="F219" s="48" t="s">
        <v>54</v>
      </c>
      <c r="G219" s="48" t="s">
        <v>163</v>
      </c>
      <c r="H219" s="48">
        <v>3</v>
      </c>
      <c r="I219" s="48">
        <v>3</v>
      </c>
      <c r="J219" s="48"/>
      <c r="K219" s="48" t="s">
        <v>6</v>
      </c>
      <c r="L219" s="48"/>
      <c r="M219" s="48"/>
      <c r="N219" s="48"/>
      <c r="O219" s="48"/>
      <c r="P219" s="48" t="s">
        <v>166</v>
      </c>
      <c r="Q219" s="48" t="s">
        <v>172</v>
      </c>
      <c r="R219" s="48" t="s">
        <v>173</v>
      </c>
      <c r="S219" s="48" t="s">
        <v>43</v>
      </c>
      <c r="T219" s="48"/>
      <c r="U219" s="59"/>
      <c r="V219" s="48"/>
      <c r="W219" s="48"/>
      <c r="X219" s="48"/>
      <c r="Y219" s="48"/>
      <c r="Z219" s="48"/>
      <c r="AA219" s="48"/>
      <c r="AB219" s="48"/>
      <c r="AC219" s="48"/>
      <c r="AD219" s="48"/>
      <c r="AE219" s="48" t="str">
        <f t="shared" si="40"/>
        <v>国版</v>
      </c>
      <c r="AF219" s="48" t="str">
        <f t="shared" si="41"/>
        <v>2025/5/27</v>
      </c>
      <c r="AG219" s="48" t="str">
        <f t="shared" si="42"/>
        <v>2025/5/28</v>
      </c>
      <c r="AH219" s="48" t="str">
        <f t="shared" si="43"/>
        <v>已发证</v>
      </c>
      <c r="AI219" s="48"/>
      <c r="AJ219" s="48"/>
      <c r="AK219" s="48" t="s">
        <v>176</v>
      </c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</row>
    <row r="220" spans="1:63" ht="30" customHeight="1">
      <c r="A220" s="51">
        <v>219</v>
      </c>
      <c r="B220" s="52" t="s">
        <v>58</v>
      </c>
      <c r="C220" s="51">
        <f t="shared" si="39"/>
        <v>2023</v>
      </c>
      <c r="D220" s="53">
        <v>45054</v>
      </c>
      <c r="E220" s="52" t="s">
        <v>416</v>
      </c>
      <c r="F220" s="51" t="s">
        <v>107</v>
      </c>
      <c r="G220" s="51" t="s">
        <v>148</v>
      </c>
      <c r="H220" s="51" t="s">
        <v>107</v>
      </c>
      <c r="I220" s="51"/>
      <c r="J220" s="51"/>
      <c r="K220" s="51" t="s">
        <v>140</v>
      </c>
      <c r="L220" s="51"/>
      <c r="M220" s="51"/>
      <c r="N220" s="51"/>
      <c r="O220" s="51"/>
      <c r="P220" s="51"/>
      <c r="Q220" s="51"/>
      <c r="R220" s="51"/>
      <c r="S220" s="51"/>
      <c r="T220" s="51"/>
      <c r="U220" s="59"/>
      <c r="V220" s="51"/>
      <c r="W220" s="51"/>
      <c r="X220" s="51"/>
      <c r="Y220" s="51"/>
      <c r="Z220" s="51"/>
      <c r="AA220" s="51"/>
      <c r="AB220" s="51"/>
      <c r="AC220" s="51"/>
      <c r="AD220" s="51"/>
      <c r="AE220" s="51" t="e">
        <f t="shared" si="40"/>
        <v>#N/A</v>
      </c>
      <c r="AF220" s="51" t="e">
        <f t="shared" si="41"/>
        <v>#N/A</v>
      </c>
      <c r="AG220" s="51" t="e">
        <f t="shared" si="42"/>
        <v>#N/A</v>
      </c>
      <c r="AH220" s="51" t="e">
        <f t="shared" si="43"/>
        <v>#N/A</v>
      </c>
      <c r="AI220" s="51"/>
      <c r="AJ220" s="51"/>
      <c r="AK220" s="51" t="s">
        <v>143</v>
      </c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</row>
    <row r="221" spans="1:63" ht="30" customHeight="1">
      <c r="A221" s="54">
        <v>220</v>
      </c>
      <c r="B221" s="42" t="s">
        <v>58</v>
      </c>
      <c r="C221" s="54">
        <f t="shared" si="39"/>
        <v>2023</v>
      </c>
      <c r="D221" s="55">
        <v>45055</v>
      </c>
      <c r="E221" s="42" t="s">
        <v>417</v>
      </c>
      <c r="F221" s="54" t="s">
        <v>54</v>
      </c>
      <c r="G221" s="54" t="s">
        <v>80</v>
      </c>
      <c r="H221" s="54">
        <v>2</v>
      </c>
      <c r="I221" s="54">
        <v>2</v>
      </c>
      <c r="J221" s="54"/>
      <c r="K221" s="54" t="str">
        <f>IF(H221=I221,"完结",IF(H221&gt;I221,"未"))</f>
        <v>完结</v>
      </c>
      <c r="L221" s="54"/>
      <c r="M221" s="54"/>
      <c r="N221" s="54"/>
      <c r="O221" s="54"/>
      <c r="P221" s="54"/>
      <c r="Q221" s="54"/>
      <c r="R221" s="54"/>
      <c r="S221" s="54"/>
      <c r="T221" s="54"/>
      <c r="U221" s="59"/>
      <c r="V221" s="54"/>
      <c r="W221" s="54"/>
      <c r="X221" s="54"/>
      <c r="Y221" s="54"/>
      <c r="Z221" s="54"/>
      <c r="AA221" s="54"/>
      <c r="AB221" s="54"/>
      <c r="AC221" s="54"/>
      <c r="AD221" s="54"/>
      <c r="AE221" s="54" t="e">
        <f t="shared" si="40"/>
        <v>#N/A</v>
      </c>
      <c r="AF221" s="54" t="e">
        <f t="shared" si="41"/>
        <v>#N/A</v>
      </c>
      <c r="AG221" s="54" t="e">
        <f t="shared" si="42"/>
        <v>#N/A</v>
      </c>
      <c r="AH221" s="54" t="e">
        <f t="shared" si="43"/>
        <v>#N/A</v>
      </c>
      <c r="AI221" s="54"/>
      <c r="AJ221" s="54"/>
      <c r="AK221" s="54" t="s">
        <v>224</v>
      </c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  <c r="AX221" s="54"/>
      <c r="AY221" s="54"/>
      <c r="AZ221" s="54"/>
      <c r="BA221" s="54"/>
      <c r="BB221" s="54"/>
      <c r="BC221" s="54"/>
      <c r="BD221" s="54"/>
      <c r="BE221" s="54"/>
      <c r="BF221" s="54"/>
      <c r="BG221" s="54"/>
      <c r="BH221" s="54"/>
      <c r="BI221" s="54"/>
      <c r="BJ221" s="54"/>
      <c r="BK221" s="54"/>
    </row>
    <row r="222" spans="1:63" ht="30" customHeight="1">
      <c r="A222" s="51">
        <v>221</v>
      </c>
      <c r="B222" s="52" t="s">
        <v>77</v>
      </c>
      <c r="C222" s="51">
        <f t="shared" si="39"/>
        <v>2023</v>
      </c>
      <c r="D222" s="53">
        <v>45058</v>
      </c>
      <c r="E222" s="52" t="s">
        <v>418</v>
      </c>
      <c r="F222" s="51" t="s">
        <v>54</v>
      </c>
      <c r="G222" s="51" t="s">
        <v>57</v>
      </c>
      <c r="H222" s="51">
        <v>6</v>
      </c>
      <c r="I222" s="51">
        <v>6</v>
      </c>
      <c r="J222" s="51"/>
      <c r="K222" s="51" t="s">
        <v>6</v>
      </c>
      <c r="L222" s="51"/>
      <c r="M222" s="51"/>
      <c r="N222" s="51"/>
      <c r="O222" s="51"/>
      <c r="P222" s="51"/>
      <c r="Q222" s="51"/>
      <c r="R222" s="51"/>
      <c r="S222" s="51"/>
      <c r="T222" s="51"/>
      <c r="U222" s="59"/>
      <c r="V222" s="51"/>
      <c r="W222" s="51"/>
      <c r="X222" s="51"/>
      <c r="Y222" s="51"/>
      <c r="Z222" s="51"/>
      <c r="AA222" s="51"/>
      <c r="AB222" s="51"/>
      <c r="AC222" s="51"/>
      <c r="AD222" s="51"/>
      <c r="AE222" s="51" t="e">
        <f t="shared" si="40"/>
        <v>#N/A</v>
      </c>
      <c r="AF222" s="51" t="e">
        <f t="shared" si="41"/>
        <v>#N/A</v>
      </c>
      <c r="AG222" s="51" t="e">
        <f t="shared" si="42"/>
        <v>#N/A</v>
      </c>
      <c r="AH222" s="51" t="e">
        <f t="shared" si="43"/>
        <v>#N/A</v>
      </c>
      <c r="AI222" s="51"/>
      <c r="AJ222" s="51"/>
      <c r="AK222" s="51" t="s">
        <v>236</v>
      </c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</row>
    <row r="223" spans="1:63" ht="30" customHeight="1">
      <c r="A223" s="45">
        <v>222</v>
      </c>
      <c r="B223" s="46" t="s">
        <v>82</v>
      </c>
      <c r="C223" s="45">
        <f t="shared" si="39"/>
        <v>2023</v>
      </c>
      <c r="D223" s="47">
        <v>45058</v>
      </c>
      <c r="E223" s="46" t="s">
        <v>99</v>
      </c>
      <c r="F223" s="45" t="s">
        <v>37</v>
      </c>
      <c r="G223" s="45" t="s">
        <v>47</v>
      </c>
      <c r="H223" s="45">
        <v>6</v>
      </c>
      <c r="I223" s="45">
        <v>6</v>
      </c>
      <c r="J223" s="45"/>
      <c r="K223" s="45" t="str">
        <f>IF(H223=I223,"完结",IF(H223&gt;I223,"未"))</f>
        <v>完结</v>
      </c>
      <c r="L223" s="45"/>
      <c r="M223" s="45"/>
      <c r="N223" s="45"/>
      <c r="O223" s="45"/>
      <c r="P223" s="45" t="s">
        <v>40</v>
      </c>
      <c r="Q223" s="45" t="s">
        <v>67</v>
      </c>
      <c r="R223" s="45">
        <v>0</v>
      </c>
      <c r="S223" s="45">
        <v>0</v>
      </c>
      <c r="T223" s="45"/>
      <c r="U223" s="58"/>
      <c r="V223" s="45"/>
      <c r="W223" s="45"/>
      <c r="X223" s="45"/>
      <c r="Y223" s="45"/>
      <c r="Z223" s="45"/>
      <c r="AA223" s="45"/>
      <c r="AB223" s="45"/>
      <c r="AC223" s="45"/>
      <c r="AD223" s="45"/>
      <c r="AE223" s="45" t="str">
        <f t="shared" si="40"/>
        <v>省版</v>
      </c>
      <c r="AF223" s="45" t="str">
        <f t="shared" si="41"/>
        <v>2025/6/5</v>
      </c>
      <c r="AG223" s="45">
        <f t="shared" si="42"/>
        <v>0</v>
      </c>
      <c r="AH223" s="45">
        <f t="shared" si="43"/>
        <v>0</v>
      </c>
      <c r="AI223" s="45"/>
      <c r="AJ223" s="45"/>
      <c r="AK223" s="45" t="s">
        <v>236</v>
      </c>
      <c r="AL223" s="45"/>
      <c r="AM223" s="45"/>
      <c r="AN223" s="45"/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45"/>
      <c r="BE223" s="45"/>
      <c r="BF223" s="45"/>
      <c r="BG223" s="45"/>
      <c r="BH223" s="45"/>
      <c r="BI223" s="45"/>
      <c r="BJ223" s="45"/>
      <c r="BK223" s="45"/>
    </row>
    <row r="224" spans="1:63" ht="30" customHeight="1">
      <c r="A224" s="51">
        <v>223</v>
      </c>
      <c r="B224" s="52" t="s">
        <v>35</v>
      </c>
      <c r="C224" s="51">
        <f t="shared" si="39"/>
        <v>2023</v>
      </c>
      <c r="D224" s="53">
        <v>45059</v>
      </c>
      <c r="E224" s="52" t="s">
        <v>419</v>
      </c>
      <c r="F224" s="51" t="s">
        <v>81</v>
      </c>
      <c r="G224" s="51" t="s">
        <v>63</v>
      </c>
      <c r="H224" s="51">
        <v>5</v>
      </c>
      <c r="I224" s="51">
        <v>5</v>
      </c>
      <c r="J224" s="51"/>
      <c r="K224" s="51" t="s">
        <v>6</v>
      </c>
      <c r="L224" s="51"/>
      <c r="M224" s="51"/>
      <c r="N224" s="51"/>
      <c r="O224" s="51"/>
      <c r="P224" s="51"/>
      <c r="Q224" s="51"/>
      <c r="R224" s="51"/>
      <c r="S224" s="51"/>
      <c r="T224" s="51"/>
      <c r="U224" s="59"/>
      <c r="V224" s="51"/>
      <c r="W224" s="51"/>
      <c r="X224" s="51"/>
      <c r="Y224" s="51"/>
      <c r="Z224" s="51"/>
      <c r="AA224" s="51"/>
      <c r="AB224" s="51"/>
      <c r="AC224" s="51"/>
      <c r="AD224" s="51"/>
      <c r="AE224" s="51" t="e">
        <f t="shared" si="40"/>
        <v>#N/A</v>
      </c>
      <c r="AF224" s="51" t="e">
        <f t="shared" si="41"/>
        <v>#N/A</v>
      </c>
      <c r="AG224" s="51" t="e">
        <f t="shared" si="42"/>
        <v>#N/A</v>
      </c>
      <c r="AH224" s="51" t="e">
        <f t="shared" si="43"/>
        <v>#N/A</v>
      </c>
      <c r="AI224" s="51"/>
      <c r="AJ224" s="51"/>
      <c r="AK224" s="51" t="s">
        <v>44</v>
      </c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</row>
    <row r="225" spans="1:63" ht="30" customHeight="1">
      <c r="A225" s="48">
        <v>224</v>
      </c>
      <c r="B225" s="49" t="s">
        <v>58</v>
      </c>
      <c r="C225" s="48">
        <f t="shared" si="39"/>
        <v>2023</v>
      </c>
      <c r="D225" s="50">
        <v>45060</v>
      </c>
      <c r="E225" s="49" t="s">
        <v>228</v>
      </c>
      <c r="F225" s="48" t="s">
        <v>37</v>
      </c>
      <c r="G225" s="48" t="s">
        <v>80</v>
      </c>
      <c r="H225" s="48">
        <v>2</v>
      </c>
      <c r="I225" s="48">
        <v>2</v>
      </c>
      <c r="J225" s="48"/>
      <c r="K225" s="48" t="str">
        <f>IF(H225=I225,"完结",IF(H225&gt;I225,"未"))</f>
        <v>完结</v>
      </c>
      <c r="L225" s="48"/>
      <c r="M225" s="48"/>
      <c r="N225" s="48"/>
      <c r="O225" s="48"/>
      <c r="P225" s="48" t="s">
        <v>40</v>
      </c>
      <c r="Q225" s="48" t="s">
        <v>216</v>
      </c>
      <c r="R225" s="48" t="s">
        <v>70</v>
      </c>
      <c r="S225" s="48" t="s">
        <v>43</v>
      </c>
      <c r="T225" s="48"/>
      <c r="U225" s="59"/>
      <c r="V225" s="48"/>
      <c r="W225" s="48"/>
      <c r="X225" s="48"/>
      <c r="Y225" s="48"/>
      <c r="Z225" s="48"/>
      <c r="AA225" s="48"/>
      <c r="AB225" s="48"/>
      <c r="AC225" s="48"/>
      <c r="AD225" s="48"/>
      <c r="AE225" s="48" t="str">
        <f t="shared" si="40"/>
        <v>省版</v>
      </c>
      <c r="AF225" s="48" t="str">
        <f t="shared" si="41"/>
        <v>2025/5/29</v>
      </c>
      <c r="AG225" s="48" t="str">
        <f t="shared" si="42"/>
        <v>2025/5/30</v>
      </c>
      <c r="AH225" s="48" t="str">
        <f t="shared" si="43"/>
        <v>已发证</v>
      </c>
      <c r="AI225" s="48"/>
      <c r="AJ225" s="48"/>
      <c r="AK225" s="48" t="s">
        <v>224</v>
      </c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</row>
    <row r="226" spans="1:63" ht="30" customHeight="1">
      <c r="A226" s="51">
        <v>225</v>
      </c>
      <c r="B226" s="52" t="s">
        <v>151</v>
      </c>
      <c r="C226" s="51">
        <f t="shared" si="39"/>
        <v>2023</v>
      </c>
      <c r="D226" s="53">
        <v>45062</v>
      </c>
      <c r="E226" s="52" t="s">
        <v>420</v>
      </c>
      <c r="F226" s="51" t="s">
        <v>107</v>
      </c>
      <c r="G226" s="51" t="s">
        <v>134</v>
      </c>
      <c r="H226" s="51" t="s">
        <v>107</v>
      </c>
      <c r="I226" s="51"/>
      <c r="J226" s="51"/>
      <c r="K226" s="51" t="s">
        <v>140</v>
      </c>
      <c r="L226" s="51"/>
      <c r="M226" s="51"/>
      <c r="N226" s="51"/>
      <c r="O226" s="51"/>
      <c r="P226" s="51"/>
      <c r="Q226" s="51"/>
      <c r="R226" s="51"/>
      <c r="S226" s="51"/>
      <c r="T226" s="51"/>
      <c r="U226" s="59"/>
      <c r="V226" s="51"/>
      <c r="W226" s="51"/>
      <c r="X226" s="51"/>
      <c r="Y226" s="51"/>
      <c r="Z226" s="51"/>
      <c r="AA226" s="51"/>
      <c r="AB226" s="51"/>
      <c r="AC226" s="51"/>
      <c r="AD226" s="51"/>
      <c r="AE226" s="51" t="e">
        <f t="shared" si="40"/>
        <v>#N/A</v>
      </c>
      <c r="AF226" s="51" t="e">
        <f t="shared" si="41"/>
        <v>#N/A</v>
      </c>
      <c r="AG226" s="51" t="e">
        <f t="shared" si="42"/>
        <v>#N/A</v>
      </c>
      <c r="AH226" s="51" t="e">
        <f t="shared" si="43"/>
        <v>#N/A</v>
      </c>
      <c r="AI226" s="51"/>
      <c r="AJ226" s="51"/>
      <c r="AK226" s="51" t="s">
        <v>143</v>
      </c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</row>
    <row r="227" spans="1:63" ht="30" customHeight="1">
      <c r="A227" s="54">
        <v>226</v>
      </c>
      <c r="B227" s="42" t="s">
        <v>49</v>
      </c>
      <c r="C227" s="54">
        <f t="shared" si="39"/>
        <v>2023</v>
      </c>
      <c r="D227" s="55">
        <v>45062</v>
      </c>
      <c r="E227" s="42" t="s">
        <v>421</v>
      </c>
      <c r="F227" s="54" t="s">
        <v>107</v>
      </c>
      <c r="G227" s="54" t="s">
        <v>57</v>
      </c>
      <c r="H227" s="54" t="s">
        <v>107</v>
      </c>
      <c r="I227" s="54"/>
      <c r="J227" s="54"/>
      <c r="K227" s="54" t="s">
        <v>140</v>
      </c>
      <c r="L227" s="54"/>
      <c r="M227" s="54"/>
      <c r="N227" s="54"/>
      <c r="O227" s="54"/>
      <c r="P227" s="54"/>
      <c r="Q227" s="54"/>
      <c r="R227" s="54"/>
      <c r="S227" s="54"/>
      <c r="T227" s="54"/>
      <c r="U227" s="59"/>
      <c r="V227" s="54"/>
      <c r="W227" s="54"/>
      <c r="X227" s="54"/>
      <c r="Y227" s="54"/>
      <c r="Z227" s="54"/>
      <c r="AA227" s="54"/>
      <c r="AB227" s="54"/>
      <c r="AC227" s="54"/>
      <c r="AD227" s="54"/>
      <c r="AE227" s="54" t="e">
        <f t="shared" si="40"/>
        <v>#N/A</v>
      </c>
      <c r="AF227" s="54" t="e">
        <f t="shared" si="41"/>
        <v>#N/A</v>
      </c>
      <c r="AG227" s="54" t="e">
        <f t="shared" si="42"/>
        <v>#N/A</v>
      </c>
      <c r="AH227" s="54" t="e">
        <f t="shared" si="43"/>
        <v>#N/A</v>
      </c>
      <c r="AI227" s="54"/>
      <c r="AJ227" s="54"/>
      <c r="AK227" s="54" t="s">
        <v>143</v>
      </c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  <c r="AX227" s="54"/>
      <c r="AY227" s="54"/>
      <c r="AZ227" s="54"/>
      <c r="BA227" s="54"/>
      <c r="BB227" s="54"/>
      <c r="BC227" s="54"/>
      <c r="BD227" s="54"/>
      <c r="BE227" s="54"/>
      <c r="BF227" s="54"/>
      <c r="BG227" s="54"/>
      <c r="BH227" s="54"/>
      <c r="BI227" s="54"/>
      <c r="BJ227" s="54"/>
      <c r="BK227" s="54"/>
    </row>
    <row r="228" spans="1:63" ht="30" customHeight="1">
      <c r="A228" s="51">
        <v>227</v>
      </c>
      <c r="B228" s="52" t="s">
        <v>58</v>
      </c>
      <c r="C228" s="51">
        <f t="shared" si="39"/>
        <v>2023</v>
      </c>
      <c r="D228" s="53">
        <v>45065</v>
      </c>
      <c r="E228" s="52" t="s">
        <v>422</v>
      </c>
      <c r="F228" s="51" t="s">
        <v>37</v>
      </c>
      <c r="G228" s="51" t="s">
        <v>80</v>
      </c>
      <c r="H228" s="51">
        <v>2</v>
      </c>
      <c r="I228" s="51">
        <v>2</v>
      </c>
      <c r="J228" s="51"/>
      <c r="K228" s="51" t="str">
        <f>IF(H228=I228,"完结",IF(H228&gt;I228,"未完结"))</f>
        <v>完结</v>
      </c>
      <c r="L228" s="51"/>
      <c r="M228" s="51"/>
      <c r="N228" s="51"/>
      <c r="O228" s="51"/>
      <c r="P228" s="51" t="s">
        <v>40</v>
      </c>
      <c r="Q228" s="51" t="s">
        <v>216</v>
      </c>
      <c r="R228" s="51" t="s">
        <v>70</v>
      </c>
      <c r="S228" s="51" t="s">
        <v>43</v>
      </c>
      <c r="T228" s="51"/>
      <c r="U228" s="59"/>
      <c r="V228" s="51"/>
      <c r="W228" s="51"/>
      <c r="X228" s="51"/>
      <c r="Y228" s="51"/>
      <c r="Z228" s="51"/>
      <c r="AA228" s="51"/>
      <c r="AB228" s="51"/>
      <c r="AC228" s="51"/>
      <c r="AD228" s="51"/>
      <c r="AE228" s="51" t="str">
        <f t="shared" si="40"/>
        <v>省版</v>
      </c>
      <c r="AF228" s="51" t="str">
        <f t="shared" si="41"/>
        <v>2025/5/29</v>
      </c>
      <c r="AG228" s="51" t="str">
        <f t="shared" si="42"/>
        <v>2025/5/30</v>
      </c>
      <c r="AH228" s="51" t="str">
        <f t="shared" si="43"/>
        <v>已发证</v>
      </c>
      <c r="AI228" s="51"/>
      <c r="AJ228" s="51"/>
      <c r="AK228" s="51" t="s">
        <v>224</v>
      </c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</row>
    <row r="229" spans="1:63" ht="30" customHeight="1">
      <c r="A229" s="45">
        <v>228</v>
      </c>
      <c r="B229" s="46" t="s">
        <v>73</v>
      </c>
      <c r="C229" s="45">
        <f t="shared" si="39"/>
        <v>2023</v>
      </c>
      <c r="D229" s="47">
        <v>45065</v>
      </c>
      <c r="E229" s="46" t="s">
        <v>60</v>
      </c>
      <c r="F229" s="45" t="s">
        <v>81</v>
      </c>
      <c r="G229" s="45" t="s">
        <v>47</v>
      </c>
      <c r="H229" s="45">
        <v>2</v>
      </c>
      <c r="I229" s="45">
        <v>2</v>
      </c>
      <c r="J229" s="45"/>
      <c r="K229" s="45" t="str">
        <f>IF(H229=I229,"完结",IF(H229&gt;I229,"未完结"))</f>
        <v>完结</v>
      </c>
      <c r="L229" s="45"/>
      <c r="M229" s="45"/>
      <c r="N229" s="45"/>
      <c r="O229" s="45"/>
      <c r="P229" s="45" t="s">
        <v>40</v>
      </c>
      <c r="Q229" s="45" t="s">
        <v>41</v>
      </c>
      <c r="R229" s="45" t="s">
        <v>42</v>
      </c>
      <c r="S229" s="45" t="s">
        <v>43</v>
      </c>
      <c r="T229" s="45"/>
      <c r="U229" s="58"/>
      <c r="V229" s="45"/>
      <c r="W229" s="45"/>
      <c r="X229" s="45"/>
      <c r="Y229" s="45"/>
      <c r="Z229" s="45"/>
      <c r="AA229" s="45"/>
      <c r="AB229" s="45"/>
      <c r="AC229" s="45"/>
      <c r="AD229" s="45"/>
      <c r="AE229" s="45" t="str">
        <f t="shared" si="40"/>
        <v>省版</v>
      </c>
      <c r="AF229" s="45" t="str">
        <f t="shared" si="41"/>
        <v>2025/6/6</v>
      </c>
      <c r="AG229" s="45" t="str">
        <f t="shared" si="42"/>
        <v>2025/7/4</v>
      </c>
      <c r="AH229" s="45" t="str">
        <f t="shared" si="43"/>
        <v>已发证</v>
      </c>
      <c r="AI229" s="45"/>
      <c r="AJ229" s="45"/>
      <c r="AK229" s="45" t="s">
        <v>224</v>
      </c>
      <c r="AL229" s="45"/>
      <c r="AM229" s="45"/>
      <c r="AN229" s="45"/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45"/>
      <c r="BE229" s="45"/>
      <c r="BF229" s="45"/>
      <c r="BG229" s="45"/>
      <c r="BH229" s="45"/>
      <c r="BI229" s="45"/>
      <c r="BJ229" s="45"/>
      <c r="BK229" s="45"/>
    </row>
    <row r="230" spans="1:63" ht="30" customHeight="1">
      <c r="A230" s="51">
        <v>229</v>
      </c>
      <c r="B230" s="52" t="s">
        <v>49</v>
      </c>
      <c r="C230" s="51">
        <f t="shared" si="39"/>
        <v>2023</v>
      </c>
      <c r="D230" s="53">
        <v>45065</v>
      </c>
      <c r="E230" s="52" t="s">
        <v>423</v>
      </c>
      <c r="F230" s="51" t="s">
        <v>81</v>
      </c>
      <c r="G230" s="51" t="s">
        <v>57</v>
      </c>
      <c r="H230" s="51" t="s">
        <v>107</v>
      </c>
      <c r="I230" s="51"/>
      <c r="J230" s="51"/>
      <c r="K230" s="51" t="s">
        <v>140</v>
      </c>
      <c r="L230" s="51"/>
      <c r="M230" s="51"/>
      <c r="N230" s="51"/>
      <c r="O230" s="51"/>
      <c r="P230" s="51"/>
      <c r="Q230" s="51"/>
      <c r="R230" s="51"/>
      <c r="S230" s="51"/>
      <c r="T230" s="51"/>
      <c r="U230" s="59"/>
      <c r="V230" s="51"/>
      <c r="W230" s="51"/>
      <c r="X230" s="51"/>
      <c r="Y230" s="51"/>
      <c r="Z230" s="51"/>
      <c r="AA230" s="51"/>
      <c r="AB230" s="51"/>
      <c r="AC230" s="51"/>
      <c r="AD230" s="51"/>
      <c r="AE230" s="51" t="e">
        <f t="shared" si="40"/>
        <v>#N/A</v>
      </c>
      <c r="AF230" s="51" t="e">
        <f t="shared" si="41"/>
        <v>#N/A</v>
      </c>
      <c r="AG230" s="51" t="e">
        <f t="shared" si="42"/>
        <v>#N/A</v>
      </c>
      <c r="AH230" s="51" t="e">
        <f t="shared" si="43"/>
        <v>#N/A</v>
      </c>
      <c r="AI230" s="51"/>
      <c r="AJ230" s="51"/>
      <c r="AK230" s="51" t="s">
        <v>143</v>
      </c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</row>
    <row r="231" spans="1:63" ht="30" customHeight="1">
      <c r="A231" s="48">
        <v>230</v>
      </c>
      <c r="B231" s="49" t="s">
        <v>49</v>
      </c>
      <c r="C231" s="48">
        <f t="shared" si="39"/>
        <v>2023</v>
      </c>
      <c r="D231" s="50">
        <v>45066</v>
      </c>
      <c r="E231" s="49" t="s">
        <v>190</v>
      </c>
      <c r="F231" s="48" t="s">
        <v>424</v>
      </c>
      <c r="G231" s="48" t="s">
        <v>57</v>
      </c>
      <c r="H231" s="48">
        <v>5</v>
      </c>
      <c r="I231" s="48">
        <v>5</v>
      </c>
      <c r="J231" s="48"/>
      <c r="K231" s="48" t="str">
        <f>IF(H231=I231,"完结",IF(H231&gt;I231,"未完结"))</f>
        <v>完结</v>
      </c>
      <c r="L231" s="48"/>
      <c r="M231" s="48"/>
      <c r="N231" s="48"/>
      <c r="O231" s="48"/>
      <c r="P231" s="48" t="s">
        <v>40</v>
      </c>
      <c r="Q231" s="48" t="s">
        <v>181</v>
      </c>
      <c r="R231" s="48" t="s">
        <v>87</v>
      </c>
      <c r="S231" s="48" t="s">
        <v>43</v>
      </c>
      <c r="T231" s="48"/>
      <c r="U231" s="59"/>
      <c r="V231" s="48"/>
      <c r="W231" s="48"/>
      <c r="X231" s="48"/>
      <c r="Y231" s="48"/>
      <c r="Z231" s="48"/>
      <c r="AA231" s="48"/>
      <c r="AB231" s="48"/>
      <c r="AC231" s="48"/>
      <c r="AD231" s="48"/>
      <c r="AE231" s="48" t="str">
        <f t="shared" si="40"/>
        <v>省版</v>
      </c>
      <c r="AF231" s="48" t="str">
        <f t="shared" si="41"/>
        <v>2025/6/2</v>
      </c>
      <c r="AG231" s="48" t="str">
        <f t="shared" si="42"/>
        <v>2025/7/3</v>
      </c>
      <c r="AH231" s="48" t="str">
        <f t="shared" si="43"/>
        <v>已发证</v>
      </c>
      <c r="AI231" s="48"/>
      <c r="AJ231" s="48"/>
      <c r="AK231" s="48" t="s">
        <v>224</v>
      </c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</row>
    <row r="232" spans="1:63" ht="30" customHeight="1">
      <c r="A232" s="51">
        <v>231</v>
      </c>
      <c r="B232" s="52" t="s">
        <v>49</v>
      </c>
      <c r="C232" s="51">
        <f t="shared" si="39"/>
        <v>2023</v>
      </c>
      <c r="D232" s="53">
        <v>45066</v>
      </c>
      <c r="E232" s="52" t="s">
        <v>425</v>
      </c>
      <c r="F232" s="51" t="s">
        <v>81</v>
      </c>
      <c r="G232" s="51" t="s">
        <v>57</v>
      </c>
      <c r="H232" s="51" t="s">
        <v>107</v>
      </c>
      <c r="I232" s="51"/>
      <c r="J232" s="51"/>
      <c r="K232" s="51" t="s">
        <v>140</v>
      </c>
      <c r="L232" s="51"/>
      <c r="M232" s="51"/>
      <c r="N232" s="51"/>
      <c r="O232" s="51"/>
      <c r="P232" s="51"/>
      <c r="Q232" s="51"/>
      <c r="R232" s="51"/>
      <c r="S232" s="51"/>
      <c r="T232" s="51"/>
      <c r="U232" s="59"/>
      <c r="V232" s="51"/>
      <c r="W232" s="51"/>
      <c r="X232" s="51"/>
      <c r="Y232" s="51"/>
      <c r="Z232" s="51"/>
      <c r="AA232" s="51"/>
      <c r="AB232" s="51"/>
      <c r="AC232" s="51"/>
      <c r="AD232" s="51"/>
      <c r="AE232" s="51" t="e">
        <f t="shared" si="40"/>
        <v>#N/A</v>
      </c>
      <c r="AF232" s="51" t="e">
        <f t="shared" si="41"/>
        <v>#N/A</v>
      </c>
      <c r="AG232" s="51" t="e">
        <f t="shared" si="42"/>
        <v>#N/A</v>
      </c>
      <c r="AH232" s="51" t="e">
        <f t="shared" si="43"/>
        <v>#N/A</v>
      </c>
      <c r="AI232" s="51"/>
      <c r="AJ232" s="51"/>
      <c r="AK232" s="51" t="s">
        <v>143</v>
      </c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</row>
    <row r="233" spans="1:63" ht="30" customHeight="1">
      <c r="A233" s="54">
        <v>232</v>
      </c>
      <c r="B233" s="42" t="s">
        <v>35</v>
      </c>
      <c r="C233" s="54">
        <f t="shared" si="39"/>
        <v>2023</v>
      </c>
      <c r="D233" s="55">
        <v>45071</v>
      </c>
      <c r="E233" s="42" t="s">
        <v>426</v>
      </c>
      <c r="F233" s="54" t="s">
        <v>48</v>
      </c>
      <c r="G233" s="54" t="s">
        <v>63</v>
      </c>
      <c r="H233" s="54">
        <v>5</v>
      </c>
      <c r="I233" s="54">
        <v>5</v>
      </c>
      <c r="J233" s="54"/>
      <c r="K233" s="54" t="str">
        <f t="shared" ref="K233:K240" si="44">IF(H233=I233,"完结",IF(H233&gt;I233,"未完结"))</f>
        <v>完结</v>
      </c>
      <c r="L233" s="54"/>
      <c r="M233" s="54"/>
      <c r="N233" s="54"/>
      <c r="O233" s="54"/>
      <c r="P233" s="54"/>
      <c r="Q233" s="54"/>
      <c r="R233" s="54"/>
      <c r="S233" s="54"/>
      <c r="T233" s="54"/>
      <c r="U233" s="59"/>
      <c r="V233" s="54"/>
      <c r="W233" s="54"/>
      <c r="X233" s="54"/>
      <c r="Y233" s="54"/>
      <c r="Z233" s="54"/>
      <c r="AA233" s="54"/>
      <c r="AB233" s="54"/>
      <c r="AC233" s="54"/>
      <c r="AD233" s="54"/>
      <c r="AE233" s="54" t="e">
        <f t="shared" si="40"/>
        <v>#N/A</v>
      </c>
      <c r="AF233" s="54" t="e">
        <f t="shared" si="41"/>
        <v>#N/A</v>
      </c>
      <c r="AG233" s="54" t="e">
        <f t="shared" si="42"/>
        <v>#N/A</v>
      </c>
      <c r="AH233" s="54" t="e">
        <f t="shared" si="43"/>
        <v>#N/A</v>
      </c>
      <c r="AI233" s="54"/>
      <c r="AJ233" s="54"/>
      <c r="AK233" s="54" t="s">
        <v>44</v>
      </c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  <c r="AX233" s="54"/>
      <c r="AY233" s="54"/>
      <c r="AZ233" s="54"/>
      <c r="BA233" s="54"/>
      <c r="BB233" s="54"/>
      <c r="BC233" s="54"/>
      <c r="BD233" s="54"/>
      <c r="BE233" s="54"/>
      <c r="BF233" s="54"/>
      <c r="BG233" s="54"/>
      <c r="BH233" s="54"/>
      <c r="BI233" s="54"/>
      <c r="BJ233" s="54"/>
      <c r="BK233" s="54"/>
    </row>
    <row r="234" spans="1:63" ht="30" customHeight="1">
      <c r="A234" s="51">
        <v>233</v>
      </c>
      <c r="B234" s="52" t="s">
        <v>49</v>
      </c>
      <c r="C234" s="51">
        <f t="shared" si="39"/>
        <v>2023</v>
      </c>
      <c r="D234" s="53">
        <v>45072</v>
      </c>
      <c r="E234" s="52" t="s">
        <v>51</v>
      </c>
      <c r="F234" s="51" t="s">
        <v>81</v>
      </c>
      <c r="G234" s="51" t="s">
        <v>47</v>
      </c>
      <c r="H234" s="51">
        <v>4</v>
      </c>
      <c r="I234" s="51">
        <v>4</v>
      </c>
      <c r="J234" s="51"/>
      <c r="K234" s="51" t="str">
        <f t="shared" si="44"/>
        <v>完结</v>
      </c>
      <c r="L234" s="51"/>
      <c r="M234" s="51"/>
      <c r="N234" s="51"/>
      <c r="O234" s="51"/>
      <c r="P234" s="51" t="s">
        <v>40</v>
      </c>
      <c r="Q234" s="51" t="s">
        <v>41</v>
      </c>
      <c r="R234" s="51" t="s">
        <v>42</v>
      </c>
      <c r="S234" s="51" t="s">
        <v>43</v>
      </c>
      <c r="T234" s="51"/>
      <c r="U234" s="59"/>
      <c r="V234" s="51"/>
      <c r="W234" s="51"/>
      <c r="X234" s="51"/>
      <c r="Y234" s="51"/>
      <c r="Z234" s="51"/>
      <c r="AA234" s="51"/>
      <c r="AB234" s="51"/>
      <c r="AC234" s="51"/>
      <c r="AD234" s="51"/>
      <c r="AE234" s="51" t="str">
        <f t="shared" si="40"/>
        <v>省版</v>
      </c>
      <c r="AF234" s="51" t="str">
        <f t="shared" si="41"/>
        <v>2025/6/6</v>
      </c>
      <c r="AG234" s="51" t="str">
        <f t="shared" si="42"/>
        <v>2025/7/4</v>
      </c>
      <c r="AH234" s="51" t="str">
        <f t="shared" si="43"/>
        <v>已发证</v>
      </c>
      <c r="AI234" s="51"/>
      <c r="AJ234" s="51"/>
      <c r="AK234" s="51" t="s">
        <v>224</v>
      </c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</row>
    <row r="235" spans="1:63" ht="30" customHeight="1">
      <c r="A235" s="45">
        <v>234</v>
      </c>
      <c r="B235" s="46" t="s">
        <v>49</v>
      </c>
      <c r="C235" s="45">
        <f t="shared" si="39"/>
        <v>2023</v>
      </c>
      <c r="D235" s="47">
        <v>45072</v>
      </c>
      <c r="E235" s="46" t="s">
        <v>230</v>
      </c>
      <c r="F235" s="45" t="s">
        <v>81</v>
      </c>
      <c r="G235" s="45" t="s">
        <v>80</v>
      </c>
      <c r="H235" s="45">
        <v>4</v>
      </c>
      <c r="I235" s="45">
        <v>4</v>
      </c>
      <c r="J235" s="45"/>
      <c r="K235" s="45" t="str">
        <f t="shared" si="44"/>
        <v>完结</v>
      </c>
      <c r="L235" s="45"/>
      <c r="M235" s="45"/>
      <c r="N235" s="45"/>
      <c r="O235" s="45"/>
      <c r="P235" s="45" t="s">
        <v>40</v>
      </c>
      <c r="Q235" s="45" t="s">
        <v>216</v>
      </c>
      <c r="R235" s="45" t="s">
        <v>70</v>
      </c>
      <c r="S235" s="45" t="s">
        <v>43</v>
      </c>
      <c r="T235" s="45"/>
      <c r="U235" s="58"/>
      <c r="V235" s="45"/>
      <c r="W235" s="45"/>
      <c r="X235" s="45"/>
      <c r="Y235" s="45"/>
      <c r="Z235" s="45"/>
      <c r="AA235" s="45"/>
      <c r="AB235" s="45"/>
      <c r="AC235" s="45"/>
      <c r="AD235" s="45"/>
      <c r="AE235" s="45" t="str">
        <f t="shared" si="40"/>
        <v>省版</v>
      </c>
      <c r="AF235" s="45" t="str">
        <f t="shared" si="41"/>
        <v>2025/5/29</v>
      </c>
      <c r="AG235" s="45" t="str">
        <f t="shared" si="42"/>
        <v>2025/5/30</v>
      </c>
      <c r="AH235" s="45" t="str">
        <f t="shared" si="43"/>
        <v>已发证</v>
      </c>
      <c r="AI235" s="45"/>
      <c r="AJ235" s="45"/>
      <c r="AK235" s="45" t="s">
        <v>427</v>
      </c>
      <c r="AL235" s="45"/>
      <c r="AM235" s="45"/>
      <c r="AN235" s="45"/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45"/>
      <c r="BE235" s="45"/>
      <c r="BF235" s="45"/>
      <c r="BG235" s="45"/>
      <c r="BH235" s="45"/>
      <c r="BI235" s="45"/>
      <c r="BJ235" s="45"/>
      <c r="BK235" s="45"/>
    </row>
    <row r="236" spans="1:63" ht="30" customHeight="1">
      <c r="A236" s="51">
        <v>235</v>
      </c>
      <c r="B236" s="52" t="s">
        <v>35</v>
      </c>
      <c r="C236" s="51">
        <f t="shared" si="39"/>
        <v>2023</v>
      </c>
      <c r="D236" s="53">
        <v>45073</v>
      </c>
      <c r="E236" s="52" t="s">
        <v>428</v>
      </c>
      <c r="F236" s="51" t="s">
        <v>37</v>
      </c>
      <c r="G236" s="51" t="s">
        <v>63</v>
      </c>
      <c r="H236" s="51">
        <v>4</v>
      </c>
      <c r="I236" s="51">
        <v>4</v>
      </c>
      <c r="J236" s="51"/>
      <c r="K236" s="51" t="str">
        <f t="shared" si="44"/>
        <v>完结</v>
      </c>
      <c r="L236" s="51"/>
      <c r="M236" s="51"/>
      <c r="N236" s="51"/>
      <c r="O236" s="51"/>
      <c r="P236" s="51"/>
      <c r="Q236" s="51"/>
      <c r="R236" s="51"/>
      <c r="S236" s="51"/>
      <c r="T236" s="51"/>
      <c r="U236" s="59"/>
      <c r="V236" s="51"/>
      <c r="W236" s="51"/>
      <c r="X236" s="51"/>
      <c r="Y236" s="51"/>
      <c r="Z236" s="51"/>
      <c r="AA236" s="51"/>
      <c r="AB236" s="51"/>
      <c r="AC236" s="51"/>
      <c r="AD236" s="51"/>
      <c r="AE236" s="51" t="e">
        <f t="shared" si="40"/>
        <v>#N/A</v>
      </c>
      <c r="AF236" s="51" t="e">
        <f t="shared" si="41"/>
        <v>#N/A</v>
      </c>
      <c r="AG236" s="51" t="e">
        <f t="shared" si="42"/>
        <v>#N/A</v>
      </c>
      <c r="AH236" s="51" t="e">
        <f t="shared" si="43"/>
        <v>#N/A</v>
      </c>
      <c r="AI236" s="51"/>
      <c r="AJ236" s="51"/>
      <c r="AK236" s="51" t="s">
        <v>44</v>
      </c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</row>
    <row r="237" spans="1:63" ht="30" customHeight="1">
      <c r="A237" s="48">
        <v>236</v>
      </c>
      <c r="B237" s="49" t="s">
        <v>82</v>
      </c>
      <c r="C237" s="48">
        <f t="shared" si="39"/>
        <v>2023</v>
      </c>
      <c r="D237" s="50">
        <v>45074</v>
      </c>
      <c r="E237" s="49" t="s">
        <v>429</v>
      </c>
      <c r="F237" s="48" t="s">
        <v>37</v>
      </c>
      <c r="G237" s="48" t="s">
        <v>57</v>
      </c>
      <c r="H237" s="48">
        <v>5</v>
      </c>
      <c r="I237" s="48">
        <v>5</v>
      </c>
      <c r="J237" s="48"/>
      <c r="K237" s="48" t="str">
        <f t="shared" si="44"/>
        <v>完结</v>
      </c>
      <c r="L237" s="48"/>
      <c r="M237" s="48"/>
      <c r="N237" s="48"/>
      <c r="O237" s="48"/>
      <c r="P237" s="48" t="s">
        <v>40</v>
      </c>
      <c r="Q237" s="48" t="s">
        <v>181</v>
      </c>
      <c r="R237" s="48" t="s">
        <v>87</v>
      </c>
      <c r="S237" s="48" t="s">
        <v>43</v>
      </c>
      <c r="T237" s="48"/>
      <c r="U237" s="59"/>
      <c r="V237" s="48"/>
      <c r="W237" s="48"/>
      <c r="X237" s="48"/>
      <c r="Y237" s="48"/>
      <c r="Z237" s="48"/>
      <c r="AA237" s="48"/>
      <c r="AB237" s="48"/>
      <c r="AC237" s="48"/>
      <c r="AD237" s="48"/>
      <c r="AE237" s="48" t="str">
        <f t="shared" si="40"/>
        <v>省版</v>
      </c>
      <c r="AF237" s="48" t="str">
        <f t="shared" si="41"/>
        <v>2025/6/2</v>
      </c>
      <c r="AG237" s="48" t="str">
        <f t="shared" si="42"/>
        <v>2025/7/3</v>
      </c>
      <c r="AH237" s="48" t="str">
        <f t="shared" si="43"/>
        <v>已发证</v>
      </c>
      <c r="AI237" s="48"/>
      <c r="AJ237" s="48"/>
      <c r="AK237" s="48" t="s">
        <v>224</v>
      </c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</row>
    <row r="238" spans="1:63" ht="30" customHeight="1">
      <c r="A238" s="51">
        <v>237</v>
      </c>
      <c r="B238" s="52" t="s">
        <v>77</v>
      </c>
      <c r="C238" s="51">
        <f t="shared" si="39"/>
        <v>2023</v>
      </c>
      <c r="D238" s="53">
        <v>45074</v>
      </c>
      <c r="E238" s="52" t="s">
        <v>430</v>
      </c>
      <c r="F238" s="51" t="s">
        <v>54</v>
      </c>
      <c r="G238" s="51" t="s">
        <v>80</v>
      </c>
      <c r="H238" s="51">
        <v>4</v>
      </c>
      <c r="I238" s="51">
        <v>4</v>
      </c>
      <c r="J238" s="51"/>
      <c r="K238" s="51" t="str">
        <f t="shared" si="44"/>
        <v>完结</v>
      </c>
      <c r="L238" s="51"/>
      <c r="M238" s="51"/>
      <c r="N238" s="51"/>
      <c r="O238" s="51"/>
      <c r="P238" s="51"/>
      <c r="Q238" s="51"/>
      <c r="R238" s="51"/>
      <c r="S238" s="51"/>
      <c r="T238" s="51"/>
      <c r="U238" s="59"/>
      <c r="V238" s="51"/>
      <c r="W238" s="51"/>
      <c r="X238" s="51"/>
      <c r="Y238" s="51"/>
      <c r="Z238" s="51"/>
      <c r="AA238" s="51"/>
      <c r="AB238" s="51"/>
      <c r="AC238" s="51"/>
      <c r="AD238" s="51"/>
      <c r="AE238" s="51" t="e">
        <f t="shared" si="40"/>
        <v>#N/A</v>
      </c>
      <c r="AF238" s="51" t="e">
        <f t="shared" si="41"/>
        <v>#N/A</v>
      </c>
      <c r="AG238" s="51" t="e">
        <f t="shared" si="42"/>
        <v>#N/A</v>
      </c>
      <c r="AH238" s="51" t="e">
        <f t="shared" si="43"/>
        <v>#N/A</v>
      </c>
      <c r="AI238" s="51"/>
      <c r="AJ238" s="51"/>
      <c r="AK238" s="51" t="s">
        <v>44</v>
      </c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</row>
    <row r="239" spans="1:63" ht="30" customHeight="1">
      <c r="A239" s="54">
        <v>238</v>
      </c>
      <c r="B239" s="42" t="s">
        <v>77</v>
      </c>
      <c r="C239" s="54">
        <f t="shared" si="39"/>
        <v>2023</v>
      </c>
      <c r="D239" s="55">
        <v>45075</v>
      </c>
      <c r="E239" s="42" t="s">
        <v>431</v>
      </c>
      <c r="F239" s="54" t="s">
        <v>54</v>
      </c>
      <c r="G239" s="54" t="s">
        <v>80</v>
      </c>
      <c r="H239" s="54">
        <v>4</v>
      </c>
      <c r="I239" s="54">
        <v>4</v>
      </c>
      <c r="J239" s="54"/>
      <c r="K239" s="54" t="str">
        <f t="shared" si="44"/>
        <v>完结</v>
      </c>
      <c r="L239" s="54"/>
      <c r="M239" s="54"/>
      <c r="N239" s="54"/>
      <c r="O239" s="54"/>
      <c r="P239" s="54"/>
      <c r="Q239" s="54"/>
      <c r="R239" s="54"/>
      <c r="S239" s="54"/>
      <c r="T239" s="54"/>
      <c r="U239" s="59"/>
      <c r="V239" s="54"/>
      <c r="W239" s="54"/>
      <c r="X239" s="54"/>
      <c r="Y239" s="54"/>
      <c r="Z239" s="54"/>
      <c r="AA239" s="54"/>
      <c r="AB239" s="54"/>
      <c r="AC239" s="54"/>
      <c r="AD239" s="54"/>
      <c r="AE239" s="54" t="e">
        <f t="shared" si="40"/>
        <v>#N/A</v>
      </c>
      <c r="AF239" s="54" t="e">
        <f t="shared" si="41"/>
        <v>#N/A</v>
      </c>
      <c r="AG239" s="54" t="e">
        <f t="shared" si="42"/>
        <v>#N/A</v>
      </c>
      <c r="AH239" s="54" t="e">
        <f t="shared" si="43"/>
        <v>#N/A</v>
      </c>
      <c r="AI239" s="54"/>
      <c r="AJ239" s="54"/>
      <c r="AK239" s="54" t="s">
        <v>44</v>
      </c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</row>
    <row r="240" spans="1:63" ht="30" customHeight="1">
      <c r="A240" s="51">
        <v>239</v>
      </c>
      <c r="B240" s="52" t="s">
        <v>49</v>
      </c>
      <c r="C240" s="51">
        <f t="shared" si="39"/>
        <v>2023</v>
      </c>
      <c r="D240" s="53">
        <v>45083</v>
      </c>
      <c r="E240" s="52" t="s">
        <v>194</v>
      </c>
      <c r="F240" s="51" t="s">
        <v>37</v>
      </c>
      <c r="G240" s="51" t="s">
        <v>57</v>
      </c>
      <c r="H240" s="51">
        <v>5</v>
      </c>
      <c r="I240" s="51">
        <v>5</v>
      </c>
      <c r="J240" s="51"/>
      <c r="K240" s="51" t="str">
        <f t="shared" si="44"/>
        <v>完结</v>
      </c>
      <c r="L240" s="51"/>
      <c r="M240" s="51"/>
      <c r="N240" s="51"/>
      <c r="O240" s="51"/>
      <c r="P240" s="51" t="s">
        <v>40</v>
      </c>
      <c r="Q240" s="51" t="s">
        <v>181</v>
      </c>
      <c r="R240" s="51" t="s">
        <v>87</v>
      </c>
      <c r="S240" s="51" t="s">
        <v>43</v>
      </c>
      <c r="T240" s="51"/>
      <c r="U240" s="59"/>
      <c r="V240" s="51"/>
      <c r="W240" s="51"/>
      <c r="X240" s="51"/>
      <c r="Y240" s="51"/>
      <c r="Z240" s="51"/>
      <c r="AA240" s="51"/>
      <c r="AB240" s="51"/>
      <c r="AC240" s="51"/>
      <c r="AD240" s="51"/>
      <c r="AE240" s="51" t="str">
        <f t="shared" si="40"/>
        <v>省版</v>
      </c>
      <c r="AF240" s="51" t="str">
        <f t="shared" si="41"/>
        <v>2025/6/2</v>
      </c>
      <c r="AG240" s="51" t="str">
        <f t="shared" si="42"/>
        <v>2025/7/3</v>
      </c>
      <c r="AH240" s="51" t="str">
        <f t="shared" si="43"/>
        <v>已发证</v>
      </c>
      <c r="AI240" s="51"/>
      <c r="AJ240" s="51"/>
      <c r="AK240" s="51" t="s">
        <v>224</v>
      </c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</row>
    <row r="241" spans="1:63" ht="30" customHeight="1">
      <c r="A241" s="45">
        <v>240</v>
      </c>
      <c r="B241" s="46" t="s">
        <v>49</v>
      </c>
      <c r="C241" s="45">
        <f t="shared" si="39"/>
        <v>2023</v>
      </c>
      <c r="D241" s="47">
        <v>45084</v>
      </c>
      <c r="E241" s="46" t="s">
        <v>432</v>
      </c>
      <c r="F241" s="45" t="s">
        <v>107</v>
      </c>
      <c r="G241" s="45" t="s">
        <v>80</v>
      </c>
      <c r="H241" s="45" t="s">
        <v>107</v>
      </c>
      <c r="I241" s="45" t="s">
        <v>107</v>
      </c>
      <c r="J241" s="45"/>
      <c r="K241" s="45" t="s">
        <v>140</v>
      </c>
      <c r="L241" s="45"/>
      <c r="M241" s="45"/>
      <c r="N241" s="45"/>
      <c r="O241" s="45"/>
      <c r="P241" s="45"/>
      <c r="Q241" s="45"/>
      <c r="R241" s="45"/>
      <c r="S241" s="45"/>
      <c r="T241" s="45"/>
      <c r="U241" s="58"/>
      <c r="V241" s="45"/>
      <c r="W241" s="45"/>
      <c r="X241" s="45"/>
      <c r="Y241" s="45"/>
      <c r="Z241" s="45"/>
      <c r="AA241" s="45"/>
      <c r="AB241" s="45"/>
      <c r="AC241" s="45"/>
      <c r="AD241" s="45"/>
      <c r="AE241" s="45" t="e">
        <f t="shared" si="40"/>
        <v>#N/A</v>
      </c>
      <c r="AF241" s="45" t="e">
        <f t="shared" si="41"/>
        <v>#N/A</v>
      </c>
      <c r="AG241" s="45" t="e">
        <f t="shared" si="42"/>
        <v>#N/A</v>
      </c>
      <c r="AH241" s="45" t="e">
        <f t="shared" si="43"/>
        <v>#N/A</v>
      </c>
      <c r="AI241" s="45"/>
      <c r="AJ241" s="45"/>
      <c r="AK241" s="45" t="s">
        <v>143</v>
      </c>
      <c r="AL241" s="45"/>
      <c r="AM241" s="45"/>
      <c r="AN241" s="45"/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45"/>
      <c r="BE241" s="45"/>
      <c r="BF241" s="45"/>
      <c r="BG241" s="45"/>
      <c r="BH241" s="45"/>
      <c r="BI241" s="45"/>
      <c r="BJ241" s="45"/>
      <c r="BK241" s="45"/>
    </row>
    <row r="242" spans="1:63" ht="30" customHeight="1">
      <c r="A242" s="51">
        <v>241</v>
      </c>
      <c r="B242" s="52" t="s">
        <v>105</v>
      </c>
      <c r="C242" s="51">
        <f t="shared" si="39"/>
        <v>2023</v>
      </c>
      <c r="D242" s="53">
        <v>45086</v>
      </c>
      <c r="E242" s="52" t="s">
        <v>433</v>
      </c>
      <c r="F242" s="51" t="s">
        <v>48</v>
      </c>
      <c r="G242" s="51" t="s">
        <v>80</v>
      </c>
      <c r="H242" s="51">
        <v>3</v>
      </c>
      <c r="I242" s="51">
        <v>3</v>
      </c>
      <c r="J242" s="51"/>
      <c r="K242" s="51" t="str">
        <f>IF(H242=I242,"完结",IF(H242&gt;I242,"未完结"))</f>
        <v>完结</v>
      </c>
      <c r="L242" s="51"/>
      <c r="M242" s="51"/>
      <c r="N242" s="51"/>
      <c r="O242" s="51"/>
      <c r="P242" s="51"/>
      <c r="Q242" s="51"/>
      <c r="R242" s="51"/>
      <c r="S242" s="51"/>
      <c r="T242" s="51"/>
      <c r="U242" s="59"/>
      <c r="V242" s="51"/>
      <c r="W242" s="51"/>
      <c r="X242" s="51"/>
      <c r="Y242" s="51"/>
      <c r="Z242" s="51"/>
      <c r="AA242" s="51"/>
      <c r="AB242" s="51"/>
      <c r="AC242" s="51"/>
      <c r="AD242" s="51"/>
      <c r="AE242" s="51" t="e">
        <f t="shared" si="40"/>
        <v>#N/A</v>
      </c>
      <c r="AF242" s="51" t="e">
        <f t="shared" si="41"/>
        <v>#N/A</v>
      </c>
      <c r="AG242" s="51" t="e">
        <f t="shared" si="42"/>
        <v>#N/A</v>
      </c>
      <c r="AH242" s="51" t="e">
        <f t="shared" si="43"/>
        <v>#N/A</v>
      </c>
      <c r="AI242" s="51"/>
      <c r="AJ242" s="51"/>
      <c r="AK242" s="51" t="s">
        <v>113</v>
      </c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</row>
    <row r="243" spans="1:63" ht="30" customHeight="1">
      <c r="A243" s="48">
        <v>242</v>
      </c>
      <c r="B243" s="49" t="s">
        <v>49</v>
      </c>
      <c r="C243" s="48">
        <f t="shared" si="39"/>
        <v>2023</v>
      </c>
      <c r="D243" s="50">
        <v>45087</v>
      </c>
      <c r="E243" s="49" t="s">
        <v>432</v>
      </c>
      <c r="F243" s="48" t="s">
        <v>107</v>
      </c>
      <c r="G243" s="48" t="s">
        <v>63</v>
      </c>
      <c r="H243" s="48" t="s">
        <v>107</v>
      </c>
      <c r="I243" s="48" t="s">
        <v>107</v>
      </c>
      <c r="J243" s="48"/>
      <c r="K243" s="48" t="s">
        <v>140</v>
      </c>
      <c r="L243" s="48"/>
      <c r="M243" s="48"/>
      <c r="N243" s="48"/>
      <c r="O243" s="48"/>
      <c r="P243" s="48"/>
      <c r="Q243" s="48"/>
      <c r="R243" s="48"/>
      <c r="S243" s="48"/>
      <c r="T243" s="48"/>
      <c r="U243" s="59"/>
      <c r="V243" s="48"/>
      <c r="W243" s="48"/>
      <c r="X243" s="48"/>
      <c r="Y243" s="48"/>
      <c r="Z243" s="48"/>
      <c r="AA243" s="48"/>
      <c r="AB243" s="48"/>
      <c r="AC243" s="48"/>
      <c r="AD243" s="48"/>
      <c r="AE243" s="48" t="e">
        <f t="shared" si="40"/>
        <v>#N/A</v>
      </c>
      <c r="AF243" s="48" t="e">
        <f t="shared" si="41"/>
        <v>#N/A</v>
      </c>
      <c r="AG243" s="48" t="e">
        <f t="shared" si="42"/>
        <v>#N/A</v>
      </c>
      <c r="AH243" s="48" t="e">
        <f t="shared" si="43"/>
        <v>#N/A</v>
      </c>
      <c r="AI243" s="48"/>
      <c r="AJ243" s="48"/>
      <c r="AK243" s="48" t="s">
        <v>143</v>
      </c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</row>
    <row r="244" spans="1:63" ht="30" customHeight="1">
      <c r="A244" s="51">
        <v>243</v>
      </c>
      <c r="B244" s="52" t="s">
        <v>49</v>
      </c>
      <c r="C244" s="51">
        <f t="shared" si="39"/>
        <v>2023</v>
      </c>
      <c r="D244" s="53">
        <v>45092</v>
      </c>
      <c r="E244" s="52" t="s">
        <v>184</v>
      </c>
      <c r="F244" s="51" t="s">
        <v>37</v>
      </c>
      <c r="G244" s="51" t="s">
        <v>57</v>
      </c>
      <c r="H244" s="51">
        <v>12</v>
      </c>
      <c r="I244" s="51">
        <v>1</v>
      </c>
      <c r="J244" s="51"/>
      <c r="K244" s="51" t="str">
        <f>IF(H244=I244,"完结",IF(H244&gt;I244,"下载中"))</f>
        <v>下载中</v>
      </c>
      <c r="L244" s="51"/>
      <c r="M244" s="51"/>
      <c r="N244" s="51"/>
      <c r="O244" s="51"/>
      <c r="P244" s="51">
        <v>0</v>
      </c>
      <c r="Q244" s="51" t="s">
        <v>41</v>
      </c>
      <c r="R244" s="51">
        <v>0</v>
      </c>
      <c r="S244" s="51" t="s">
        <v>71</v>
      </c>
      <c r="T244" s="51"/>
      <c r="U244" s="59"/>
      <c r="V244" s="51"/>
      <c r="W244" s="51"/>
      <c r="X244" s="51"/>
      <c r="Y244" s="51"/>
      <c r="Z244" s="51"/>
      <c r="AA244" s="51"/>
      <c r="AB244" s="51"/>
      <c r="AC244" s="51"/>
      <c r="AD244" s="51"/>
      <c r="AE244" s="51">
        <f t="shared" si="40"/>
        <v>0</v>
      </c>
      <c r="AF244" s="51" t="str">
        <f t="shared" si="41"/>
        <v>2025/6/6</v>
      </c>
      <c r="AG244" s="51">
        <f t="shared" si="42"/>
        <v>0</v>
      </c>
      <c r="AH244" s="51" t="str">
        <f t="shared" si="43"/>
        <v>阶段稿已存证</v>
      </c>
      <c r="AI244" s="51"/>
      <c r="AJ244" s="51"/>
      <c r="AK244" s="51" t="s">
        <v>224</v>
      </c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</row>
    <row r="245" spans="1:63" ht="30" customHeight="1">
      <c r="A245" s="54">
        <v>244</v>
      </c>
      <c r="B245" s="42" t="s">
        <v>105</v>
      </c>
      <c r="C245" s="54">
        <f t="shared" si="39"/>
        <v>2023</v>
      </c>
      <c r="D245" s="55">
        <v>45092</v>
      </c>
      <c r="E245" s="42" t="s">
        <v>434</v>
      </c>
      <c r="F245" s="54" t="s">
        <v>48</v>
      </c>
      <c r="G245" s="54" t="s">
        <v>80</v>
      </c>
      <c r="H245" s="54">
        <v>4</v>
      </c>
      <c r="I245" s="54">
        <v>4</v>
      </c>
      <c r="J245" s="54"/>
      <c r="K245" s="54" t="str">
        <f>IF(H245=I245,"完结",IF(H245&gt;I245,"未完结"))</f>
        <v>完结</v>
      </c>
      <c r="L245" s="54"/>
      <c r="M245" s="54"/>
      <c r="N245" s="54"/>
      <c r="O245" s="54"/>
      <c r="P245" s="54"/>
      <c r="Q245" s="54"/>
      <c r="R245" s="54"/>
      <c r="S245" s="54"/>
      <c r="T245" s="54"/>
      <c r="U245" s="59"/>
      <c r="V245" s="54"/>
      <c r="W245" s="54"/>
      <c r="X245" s="54"/>
      <c r="Y245" s="54"/>
      <c r="Z245" s="54"/>
      <c r="AA245" s="54"/>
      <c r="AB245" s="54"/>
      <c r="AC245" s="54"/>
      <c r="AD245" s="54"/>
      <c r="AE245" s="54" t="e">
        <f t="shared" si="40"/>
        <v>#N/A</v>
      </c>
      <c r="AF245" s="54" t="e">
        <f t="shared" si="41"/>
        <v>#N/A</v>
      </c>
      <c r="AG245" s="54" t="e">
        <f t="shared" si="42"/>
        <v>#N/A</v>
      </c>
      <c r="AH245" s="54" t="e">
        <f t="shared" si="43"/>
        <v>#N/A</v>
      </c>
      <c r="AI245" s="54"/>
      <c r="AJ245" s="54"/>
      <c r="AK245" s="54" t="s">
        <v>113</v>
      </c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</row>
    <row r="246" spans="1:63" ht="30" customHeight="1">
      <c r="A246" s="51">
        <v>245</v>
      </c>
      <c r="B246" s="52" t="s">
        <v>105</v>
      </c>
      <c r="C246" s="51">
        <f t="shared" si="39"/>
        <v>2023</v>
      </c>
      <c r="D246" s="53">
        <v>45102</v>
      </c>
      <c r="E246" s="52" t="s">
        <v>435</v>
      </c>
      <c r="F246" s="51" t="s">
        <v>48</v>
      </c>
      <c r="G246" s="51" t="s">
        <v>80</v>
      </c>
      <c r="H246" s="51">
        <v>4</v>
      </c>
      <c r="I246" s="51">
        <v>4</v>
      </c>
      <c r="J246" s="51"/>
      <c r="K246" s="51" t="str">
        <f>IF(H246=I246,"完结",IF(H246&gt;I246,"未完结"))</f>
        <v>完结</v>
      </c>
      <c r="L246" s="51"/>
      <c r="M246" s="51"/>
      <c r="N246" s="51"/>
      <c r="O246" s="51"/>
      <c r="P246" s="51"/>
      <c r="Q246" s="51"/>
      <c r="R246" s="51"/>
      <c r="S246" s="51"/>
      <c r="T246" s="51"/>
      <c r="U246" s="59"/>
      <c r="V246" s="51"/>
      <c r="W246" s="51"/>
      <c r="X246" s="51"/>
      <c r="Y246" s="51"/>
      <c r="Z246" s="51"/>
      <c r="AA246" s="51"/>
      <c r="AB246" s="51"/>
      <c r="AC246" s="51"/>
      <c r="AD246" s="51"/>
      <c r="AE246" s="51" t="e">
        <f t="shared" si="40"/>
        <v>#N/A</v>
      </c>
      <c r="AF246" s="51" t="e">
        <f t="shared" si="41"/>
        <v>#N/A</v>
      </c>
      <c r="AG246" s="51" t="e">
        <f t="shared" si="42"/>
        <v>#N/A</v>
      </c>
      <c r="AH246" s="51" t="e">
        <f t="shared" si="43"/>
        <v>#N/A</v>
      </c>
      <c r="AI246" s="51"/>
      <c r="AJ246" s="51"/>
      <c r="AK246" s="51" t="s">
        <v>113</v>
      </c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</row>
    <row r="247" spans="1:63" ht="30" customHeight="1">
      <c r="A247" s="45">
        <v>246</v>
      </c>
      <c r="B247" s="46" t="s">
        <v>49</v>
      </c>
      <c r="C247" s="45">
        <f t="shared" si="39"/>
        <v>2023</v>
      </c>
      <c r="D247" s="47">
        <v>45113</v>
      </c>
      <c r="E247" s="46" t="s">
        <v>39</v>
      </c>
      <c r="F247" s="45" t="s">
        <v>81</v>
      </c>
      <c r="G247" s="45" t="s">
        <v>63</v>
      </c>
      <c r="H247" s="45">
        <v>5</v>
      </c>
      <c r="I247" s="45">
        <v>5</v>
      </c>
      <c r="J247" s="45"/>
      <c r="K247" s="45" t="str">
        <f>IF(H247=I247,"完结",IF(H247&gt;I247,"未完结"))</f>
        <v>完结</v>
      </c>
      <c r="L247" s="45"/>
      <c r="M247" s="45"/>
      <c r="N247" s="45"/>
      <c r="O247" s="45"/>
      <c r="P247" s="45" t="s">
        <v>40</v>
      </c>
      <c r="Q247" s="45" t="s">
        <v>41</v>
      </c>
      <c r="R247" s="45" t="s">
        <v>42</v>
      </c>
      <c r="S247" s="45" t="s">
        <v>43</v>
      </c>
      <c r="T247" s="45"/>
      <c r="U247" s="58"/>
      <c r="V247" s="45"/>
      <c r="W247" s="45"/>
      <c r="X247" s="45"/>
      <c r="Y247" s="45"/>
      <c r="Z247" s="45"/>
      <c r="AA247" s="45"/>
      <c r="AB247" s="45"/>
      <c r="AC247" s="45"/>
      <c r="AD247" s="45"/>
      <c r="AE247" s="45" t="str">
        <f t="shared" si="40"/>
        <v>省版</v>
      </c>
      <c r="AF247" s="45" t="str">
        <f t="shared" si="41"/>
        <v>2025/6/6</v>
      </c>
      <c r="AG247" s="45" t="str">
        <f t="shared" si="42"/>
        <v>2025/7/4</v>
      </c>
      <c r="AH247" s="45" t="str">
        <f t="shared" si="43"/>
        <v>已发证</v>
      </c>
      <c r="AI247" s="45"/>
      <c r="AJ247" s="45"/>
      <c r="AK247" s="45" t="s">
        <v>44</v>
      </c>
      <c r="AL247" s="45"/>
      <c r="AM247" s="45"/>
      <c r="AN247" s="45"/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45"/>
      <c r="BE247" s="45"/>
      <c r="BF247" s="45"/>
      <c r="BG247" s="45"/>
      <c r="BH247" s="45"/>
      <c r="BI247" s="45"/>
      <c r="BJ247" s="45"/>
      <c r="BK247" s="45"/>
    </row>
    <row r="248" spans="1:63" ht="30" customHeight="1">
      <c r="A248" s="51">
        <v>247</v>
      </c>
      <c r="B248" s="52" t="s">
        <v>105</v>
      </c>
      <c r="C248" s="51">
        <f t="shared" si="39"/>
        <v>2023</v>
      </c>
      <c r="D248" s="53">
        <v>45117</v>
      </c>
      <c r="E248" s="52" t="s">
        <v>436</v>
      </c>
      <c r="F248" s="51" t="s">
        <v>107</v>
      </c>
      <c r="G248" s="51" t="s">
        <v>80</v>
      </c>
      <c r="H248" s="51" t="s">
        <v>129</v>
      </c>
      <c r="I248" s="51" t="s">
        <v>129</v>
      </c>
      <c r="J248" s="51"/>
      <c r="K248" s="51" t="s">
        <v>108</v>
      </c>
      <c r="L248" s="51"/>
      <c r="M248" s="51"/>
      <c r="N248" s="51"/>
      <c r="O248" s="51"/>
      <c r="P248" s="51"/>
      <c r="Q248" s="51"/>
      <c r="R248" s="51"/>
      <c r="S248" s="51"/>
      <c r="T248" s="51"/>
      <c r="U248" s="59"/>
      <c r="V248" s="51"/>
      <c r="W248" s="51"/>
      <c r="X248" s="51"/>
      <c r="Y248" s="51"/>
      <c r="Z248" s="51"/>
      <c r="AA248" s="51"/>
      <c r="AB248" s="51"/>
      <c r="AC248" s="51"/>
      <c r="AD248" s="51"/>
      <c r="AE248" s="51" t="e">
        <f t="shared" si="40"/>
        <v>#N/A</v>
      </c>
      <c r="AF248" s="51" t="e">
        <f t="shared" si="41"/>
        <v>#N/A</v>
      </c>
      <c r="AG248" s="51" t="e">
        <f t="shared" si="42"/>
        <v>#N/A</v>
      </c>
      <c r="AH248" s="51" t="e">
        <f t="shared" si="43"/>
        <v>#N/A</v>
      </c>
      <c r="AI248" s="51"/>
      <c r="AJ248" s="51"/>
      <c r="AK248" s="51" t="s">
        <v>113</v>
      </c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</row>
    <row r="249" spans="1:63" ht="30" customHeight="1">
      <c r="A249" s="48">
        <v>248</v>
      </c>
      <c r="B249" s="49" t="s">
        <v>105</v>
      </c>
      <c r="C249" s="48">
        <f t="shared" si="39"/>
        <v>2023</v>
      </c>
      <c r="D249" s="50">
        <v>45125</v>
      </c>
      <c r="E249" s="49" t="s">
        <v>437</v>
      </c>
      <c r="F249" s="48" t="s">
        <v>48</v>
      </c>
      <c r="G249" s="48" t="s">
        <v>80</v>
      </c>
      <c r="H249" s="48">
        <v>3</v>
      </c>
      <c r="I249" s="48">
        <v>3</v>
      </c>
      <c r="J249" s="48"/>
      <c r="K249" s="48" t="str">
        <f>IF(H249=I249,"完结",IF(H249&gt;I249,"未完结"))</f>
        <v>完结</v>
      </c>
      <c r="L249" s="48"/>
      <c r="M249" s="48"/>
      <c r="N249" s="48"/>
      <c r="O249" s="48"/>
      <c r="P249" s="48"/>
      <c r="Q249" s="48"/>
      <c r="R249" s="48"/>
      <c r="S249" s="48"/>
      <c r="T249" s="48"/>
      <c r="U249" s="59"/>
      <c r="V249" s="48"/>
      <c r="W249" s="48"/>
      <c r="X249" s="48"/>
      <c r="Y249" s="48"/>
      <c r="Z249" s="48"/>
      <c r="AA249" s="48"/>
      <c r="AB249" s="48"/>
      <c r="AC249" s="48"/>
      <c r="AD249" s="48"/>
      <c r="AE249" s="48" t="e">
        <f t="shared" si="40"/>
        <v>#N/A</v>
      </c>
      <c r="AF249" s="48" t="e">
        <f t="shared" si="41"/>
        <v>#N/A</v>
      </c>
      <c r="AG249" s="48" t="e">
        <f t="shared" si="42"/>
        <v>#N/A</v>
      </c>
      <c r="AH249" s="48" t="e">
        <f t="shared" si="43"/>
        <v>#N/A</v>
      </c>
      <c r="AI249" s="48"/>
      <c r="AJ249" s="48"/>
      <c r="AK249" s="48" t="s">
        <v>113</v>
      </c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</row>
    <row r="250" spans="1:63" ht="30" customHeight="1">
      <c r="A250" s="51">
        <v>249</v>
      </c>
      <c r="B250" s="52" t="s">
        <v>77</v>
      </c>
      <c r="C250" s="51">
        <f t="shared" si="39"/>
        <v>2023</v>
      </c>
      <c r="D250" s="53">
        <v>45149</v>
      </c>
      <c r="E250" s="52" t="s">
        <v>438</v>
      </c>
      <c r="F250" s="51" t="s">
        <v>37</v>
      </c>
      <c r="G250" s="51" t="s">
        <v>134</v>
      </c>
      <c r="H250" s="51">
        <v>3</v>
      </c>
      <c r="I250" s="51">
        <v>3</v>
      </c>
      <c r="J250" s="51"/>
      <c r="K250" s="51" t="str">
        <f>IF(H250=I250,"完结",IF(H250&gt;I250,"未完结"))</f>
        <v>完结</v>
      </c>
      <c r="L250" s="51"/>
      <c r="M250" s="51"/>
      <c r="N250" s="51"/>
      <c r="O250" s="51"/>
      <c r="P250" s="51"/>
      <c r="Q250" s="51"/>
      <c r="R250" s="51"/>
      <c r="S250" s="51"/>
      <c r="T250" s="51"/>
      <c r="U250" s="59"/>
      <c r="V250" s="51"/>
      <c r="W250" s="51"/>
      <c r="X250" s="51"/>
      <c r="Y250" s="51"/>
      <c r="Z250" s="51"/>
      <c r="AA250" s="51"/>
      <c r="AB250" s="51"/>
      <c r="AC250" s="51"/>
      <c r="AD250" s="51"/>
      <c r="AE250" s="51" t="e">
        <f t="shared" si="40"/>
        <v>#N/A</v>
      </c>
      <c r="AF250" s="51" t="e">
        <f t="shared" si="41"/>
        <v>#N/A</v>
      </c>
      <c r="AG250" s="51" t="e">
        <f t="shared" si="42"/>
        <v>#N/A</v>
      </c>
      <c r="AH250" s="51" t="e">
        <f t="shared" si="43"/>
        <v>#N/A</v>
      </c>
      <c r="AI250" s="51"/>
      <c r="AJ250" s="51"/>
      <c r="AK250" s="51" t="s">
        <v>44</v>
      </c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</row>
    <row r="251" spans="1:63" ht="30" customHeight="1">
      <c r="A251" s="54">
        <v>250</v>
      </c>
      <c r="B251" s="42" t="s">
        <v>77</v>
      </c>
      <c r="C251" s="54">
        <f t="shared" si="39"/>
        <v>2023</v>
      </c>
      <c r="D251" s="55">
        <v>45156</v>
      </c>
      <c r="E251" s="42" t="s">
        <v>439</v>
      </c>
      <c r="F251" s="54" t="s">
        <v>54</v>
      </c>
      <c r="G251" s="54" t="s">
        <v>80</v>
      </c>
      <c r="H251" s="54">
        <v>3</v>
      </c>
      <c r="I251" s="54">
        <v>3</v>
      </c>
      <c r="J251" s="54"/>
      <c r="K251" s="54" t="str">
        <f>IF(H251=I251,"完结",IF(H251&gt;I251,"未完结"))</f>
        <v>完结</v>
      </c>
      <c r="L251" s="54"/>
      <c r="M251" s="54"/>
      <c r="N251" s="54"/>
      <c r="O251" s="54"/>
      <c r="P251" s="54"/>
      <c r="Q251" s="54"/>
      <c r="R251" s="54"/>
      <c r="S251" s="54"/>
      <c r="T251" s="54"/>
      <c r="U251" s="59"/>
      <c r="V251" s="54"/>
      <c r="W251" s="54"/>
      <c r="X251" s="54"/>
      <c r="Y251" s="54"/>
      <c r="Z251" s="54"/>
      <c r="AA251" s="54"/>
      <c r="AB251" s="54"/>
      <c r="AC251" s="54"/>
      <c r="AD251" s="54"/>
      <c r="AE251" s="54" t="e">
        <f t="shared" si="40"/>
        <v>#N/A</v>
      </c>
      <c r="AF251" s="54" t="e">
        <f t="shared" si="41"/>
        <v>#N/A</v>
      </c>
      <c r="AG251" s="54" t="e">
        <f t="shared" si="42"/>
        <v>#N/A</v>
      </c>
      <c r="AH251" s="54" t="e">
        <f t="shared" si="43"/>
        <v>#N/A</v>
      </c>
      <c r="AI251" s="54"/>
      <c r="AJ251" s="54"/>
      <c r="AK251" s="54" t="s">
        <v>44</v>
      </c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  <c r="AX251" s="54"/>
      <c r="AY251" s="54"/>
      <c r="AZ251" s="54"/>
      <c r="BA251" s="54"/>
      <c r="BB251" s="54"/>
      <c r="BC251" s="54"/>
      <c r="BD251" s="54"/>
      <c r="BE251" s="54"/>
      <c r="BF251" s="54"/>
      <c r="BG251" s="54"/>
      <c r="BH251" s="54"/>
      <c r="BI251" s="54"/>
      <c r="BJ251" s="54"/>
      <c r="BK251" s="54"/>
    </row>
    <row r="252" spans="1:63" ht="30" customHeight="1">
      <c r="A252" s="51">
        <v>251</v>
      </c>
      <c r="B252" s="52" t="s">
        <v>77</v>
      </c>
      <c r="C252" s="51">
        <f t="shared" si="39"/>
        <v>2023</v>
      </c>
      <c r="D252" s="53">
        <v>45164</v>
      </c>
      <c r="E252" s="52" t="s">
        <v>440</v>
      </c>
      <c r="F252" s="51" t="s">
        <v>54</v>
      </c>
      <c r="G252" s="51" t="s">
        <v>80</v>
      </c>
      <c r="H252" s="51">
        <v>3</v>
      </c>
      <c r="I252" s="51">
        <v>3</v>
      </c>
      <c r="J252" s="51"/>
      <c r="K252" s="51" t="str">
        <f>IF(H252=I252,"完结",IF(H252&gt;I252,"未完结"))</f>
        <v>完结</v>
      </c>
      <c r="L252" s="51"/>
      <c r="M252" s="51"/>
      <c r="N252" s="51"/>
      <c r="O252" s="51"/>
      <c r="P252" s="51"/>
      <c r="Q252" s="51"/>
      <c r="R252" s="51"/>
      <c r="S252" s="51"/>
      <c r="T252" s="51"/>
      <c r="U252" s="59"/>
      <c r="V252" s="51"/>
      <c r="W252" s="51"/>
      <c r="X252" s="51"/>
      <c r="Y252" s="51"/>
      <c r="Z252" s="51"/>
      <c r="AA252" s="51"/>
      <c r="AB252" s="51"/>
      <c r="AC252" s="51"/>
      <c r="AD252" s="51"/>
      <c r="AE252" s="51" t="e">
        <f t="shared" si="40"/>
        <v>#N/A</v>
      </c>
      <c r="AF252" s="51" t="e">
        <f t="shared" si="41"/>
        <v>#N/A</v>
      </c>
      <c r="AG252" s="51" t="e">
        <f t="shared" si="42"/>
        <v>#N/A</v>
      </c>
      <c r="AH252" s="51" t="e">
        <f t="shared" si="43"/>
        <v>#N/A</v>
      </c>
      <c r="AI252" s="51"/>
      <c r="AJ252" s="51"/>
      <c r="AK252" s="51" t="s">
        <v>44</v>
      </c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</row>
    <row r="253" spans="1:63" ht="30" customHeight="1">
      <c r="A253" s="45">
        <v>252</v>
      </c>
      <c r="B253" s="46" t="s">
        <v>110</v>
      </c>
      <c r="C253" s="45">
        <f t="shared" si="39"/>
        <v>2023</v>
      </c>
      <c r="D253" s="47">
        <v>45171</v>
      </c>
      <c r="E253" s="46" t="s">
        <v>441</v>
      </c>
      <c r="F253" s="45" t="s">
        <v>37</v>
      </c>
      <c r="G253" s="45" t="s">
        <v>80</v>
      </c>
      <c r="H253" s="45">
        <v>1</v>
      </c>
      <c r="I253" s="45">
        <v>1</v>
      </c>
      <c r="J253" s="45"/>
      <c r="K253" s="45" t="str">
        <f>IF(H253=I253,"完结",IF(H253&gt;I253,"未完结"))</f>
        <v>完结</v>
      </c>
      <c r="L253" s="45"/>
      <c r="M253" s="45"/>
      <c r="N253" s="45"/>
      <c r="O253" s="45"/>
      <c r="P253" s="45"/>
      <c r="Q253" s="45"/>
      <c r="R253" s="45"/>
      <c r="S253" s="45"/>
      <c r="T253" s="45"/>
      <c r="U253" s="58"/>
      <c r="V253" s="45"/>
      <c r="W253" s="45"/>
      <c r="X253" s="45"/>
      <c r="Y253" s="45"/>
      <c r="Z253" s="45"/>
      <c r="AA253" s="45"/>
      <c r="AB253" s="45"/>
      <c r="AC253" s="45"/>
      <c r="AD253" s="45"/>
      <c r="AE253" s="45" t="e">
        <f t="shared" si="40"/>
        <v>#N/A</v>
      </c>
      <c r="AF253" s="45" t="e">
        <f t="shared" si="41"/>
        <v>#N/A</v>
      </c>
      <c r="AG253" s="45" t="e">
        <f t="shared" si="42"/>
        <v>#N/A</v>
      </c>
      <c r="AH253" s="45" t="e">
        <f t="shared" si="43"/>
        <v>#N/A</v>
      </c>
      <c r="AI253" s="45"/>
      <c r="AJ253" s="45"/>
      <c r="AK253" s="45" t="s">
        <v>359</v>
      </c>
      <c r="AL253" s="45"/>
      <c r="AM253" s="45"/>
      <c r="AN253" s="45"/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45"/>
      <c r="BE253" s="45"/>
      <c r="BF253" s="45"/>
      <c r="BG253" s="45"/>
      <c r="BH253" s="45"/>
      <c r="BI253" s="45"/>
      <c r="BJ253" s="45"/>
      <c r="BK253" s="45"/>
    </row>
    <row r="254" spans="1:63" ht="30" customHeight="1">
      <c r="A254" s="51">
        <v>253</v>
      </c>
      <c r="B254" s="52" t="s">
        <v>161</v>
      </c>
      <c r="C254" s="51">
        <f t="shared" si="39"/>
        <v>2023</v>
      </c>
      <c r="D254" s="53">
        <v>45173</v>
      </c>
      <c r="E254" s="52" t="s">
        <v>442</v>
      </c>
      <c r="F254" s="51" t="s">
        <v>107</v>
      </c>
      <c r="G254" s="51" t="s">
        <v>134</v>
      </c>
      <c r="H254" s="51">
        <v>3</v>
      </c>
      <c r="I254" s="51">
        <v>3</v>
      </c>
      <c r="J254" s="51"/>
      <c r="K254" s="51" t="s">
        <v>140</v>
      </c>
      <c r="L254" s="51"/>
      <c r="M254" s="51"/>
      <c r="N254" s="51"/>
      <c r="O254" s="51"/>
      <c r="P254" s="51"/>
      <c r="Q254" s="51"/>
      <c r="R254" s="51"/>
      <c r="S254" s="51"/>
      <c r="T254" s="51"/>
      <c r="U254" s="59"/>
      <c r="V254" s="51"/>
      <c r="W254" s="51"/>
      <c r="X254" s="51"/>
      <c r="Y254" s="51"/>
      <c r="Z254" s="51"/>
      <c r="AA254" s="51"/>
      <c r="AB254" s="51"/>
      <c r="AC254" s="51"/>
      <c r="AD254" s="51"/>
      <c r="AE254" s="51" t="e">
        <f t="shared" si="40"/>
        <v>#N/A</v>
      </c>
      <c r="AF254" s="51" t="e">
        <f t="shared" si="41"/>
        <v>#N/A</v>
      </c>
      <c r="AG254" s="51" t="e">
        <f t="shared" si="42"/>
        <v>#N/A</v>
      </c>
      <c r="AH254" s="51" t="e">
        <f t="shared" si="43"/>
        <v>#N/A</v>
      </c>
      <c r="AI254" s="51"/>
      <c r="AJ254" s="51"/>
      <c r="AK254" s="51" t="s">
        <v>143</v>
      </c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</row>
    <row r="255" spans="1:63" ht="30" customHeight="1">
      <c r="A255" s="48">
        <v>254</v>
      </c>
      <c r="B255" s="49" t="s">
        <v>170</v>
      </c>
      <c r="C255" s="48">
        <f t="shared" si="39"/>
        <v>2023</v>
      </c>
      <c r="D255" s="50">
        <v>45178</v>
      </c>
      <c r="E255" s="49" t="s">
        <v>443</v>
      </c>
      <c r="F255" s="48" t="s">
        <v>37</v>
      </c>
      <c r="G255" s="48" t="s">
        <v>63</v>
      </c>
      <c r="H255" s="48">
        <v>2</v>
      </c>
      <c r="I255" s="48">
        <v>2</v>
      </c>
      <c r="J255" s="48"/>
      <c r="K255" s="48" t="str">
        <f>IF(H255=I255,"完结",IF(H255&gt;I255,"未完结"))</f>
        <v>完结</v>
      </c>
      <c r="L255" s="48"/>
      <c r="M255" s="48"/>
      <c r="N255" s="48"/>
      <c r="O255" s="48"/>
      <c r="P255" s="48"/>
      <c r="Q255" s="48"/>
      <c r="R255" s="48"/>
      <c r="S255" s="48"/>
      <c r="T255" s="48"/>
      <c r="U255" s="59"/>
      <c r="V255" s="48"/>
      <c r="W255" s="48"/>
      <c r="X255" s="48"/>
      <c r="Y255" s="48"/>
      <c r="Z255" s="48"/>
      <c r="AA255" s="48"/>
      <c r="AB255" s="48"/>
      <c r="AC255" s="48"/>
      <c r="AD255" s="48"/>
      <c r="AE255" s="48" t="e">
        <f t="shared" si="40"/>
        <v>#N/A</v>
      </c>
      <c r="AF255" s="48" t="e">
        <f t="shared" si="41"/>
        <v>#N/A</v>
      </c>
      <c r="AG255" s="48" t="e">
        <f t="shared" si="42"/>
        <v>#N/A</v>
      </c>
      <c r="AH255" s="48" t="e">
        <f t="shared" si="43"/>
        <v>#N/A</v>
      </c>
      <c r="AI255" s="48"/>
      <c r="AJ255" s="48"/>
      <c r="AK255" s="48" t="s">
        <v>44</v>
      </c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</row>
    <row r="256" spans="1:63" ht="30" customHeight="1">
      <c r="A256" s="51">
        <v>255</v>
      </c>
      <c r="B256" s="52" t="s">
        <v>170</v>
      </c>
      <c r="C256" s="51">
        <f t="shared" si="39"/>
        <v>2023</v>
      </c>
      <c r="D256" s="53">
        <v>45192</v>
      </c>
      <c r="E256" s="52" t="s">
        <v>444</v>
      </c>
      <c r="F256" s="51" t="s">
        <v>54</v>
      </c>
      <c r="G256" s="51" t="s">
        <v>63</v>
      </c>
      <c r="H256" s="51">
        <v>4</v>
      </c>
      <c r="I256" s="51">
        <v>4</v>
      </c>
      <c r="J256" s="51"/>
      <c r="K256" s="51" t="str">
        <f>IF(H256=I256,"完结",IF(H256&gt;I256,"未完结"))</f>
        <v>完结</v>
      </c>
      <c r="L256" s="51"/>
      <c r="M256" s="51"/>
      <c r="N256" s="51"/>
      <c r="O256" s="51"/>
      <c r="P256" s="51"/>
      <c r="Q256" s="51"/>
      <c r="R256" s="51"/>
      <c r="S256" s="51"/>
      <c r="T256" s="51"/>
      <c r="U256" s="59"/>
      <c r="V256" s="51"/>
      <c r="W256" s="51"/>
      <c r="X256" s="51"/>
      <c r="Y256" s="51"/>
      <c r="Z256" s="51"/>
      <c r="AA256" s="51"/>
      <c r="AB256" s="51"/>
      <c r="AC256" s="51"/>
      <c r="AD256" s="51"/>
      <c r="AE256" s="51" t="e">
        <f t="shared" si="40"/>
        <v>#N/A</v>
      </c>
      <c r="AF256" s="51" t="e">
        <f t="shared" si="41"/>
        <v>#N/A</v>
      </c>
      <c r="AG256" s="51" t="e">
        <f t="shared" si="42"/>
        <v>#N/A</v>
      </c>
      <c r="AH256" s="51" t="e">
        <f t="shared" si="43"/>
        <v>#N/A</v>
      </c>
      <c r="AI256" s="51"/>
      <c r="AJ256" s="51"/>
      <c r="AK256" s="51" t="s">
        <v>44</v>
      </c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</row>
    <row r="257" spans="1:63" ht="30" customHeight="1">
      <c r="A257" s="54">
        <v>256</v>
      </c>
      <c r="B257" s="42" t="s">
        <v>151</v>
      </c>
      <c r="C257" s="54">
        <f t="shared" si="39"/>
        <v>2023</v>
      </c>
      <c r="D257" s="55">
        <v>45195</v>
      </c>
      <c r="E257" s="42" t="s">
        <v>445</v>
      </c>
      <c r="F257" s="54" t="s">
        <v>54</v>
      </c>
      <c r="G257" s="54" t="s">
        <v>57</v>
      </c>
      <c r="H257" s="54">
        <v>16</v>
      </c>
      <c r="I257" s="54">
        <v>16</v>
      </c>
      <c r="J257" s="54"/>
      <c r="K257" s="54" t="str">
        <f>IF(H257=I257,"完结",IF(H257&gt;I257,"未完结"))</f>
        <v>完结</v>
      </c>
      <c r="L257" s="54"/>
      <c r="M257" s="54"/>
      <c r="N257" s="54"/>
      <c r="O257" s="54"/>
      <c r="P257" s="54"/>
      <c r="Q257" s="54"/>
      <c r="R257" s="54"/>
      <c r="S257" s="54"/>
      <c r="T257" s="54"/>
      <c r="U257" s="59"/>
      <c r="V257" s="54"/>
      <c r="W257" s="54"/>
      <c r="X257" s="54"/>
      <c r="Y257" s="54"/>
      <c r="Z257" s="54"/>
      <c r="AA257" s="54"/>
      <c r="AB257" s="54"/>
      <c r="AC257" s="54"/>
      <c r="AD257" s="54"/>
      <c r="AE257" s="54" t="e">
        <f t="shared" si="40"/>
        <v>#N/A</v>
      </c>
      <c r="AF257" s="54" t="e">
        <f t="shared" si="41"/>
        <v>#N/A</v>
      </c>
      <c r="AG257" s="54" t="e">
        <f t="shared" si="42"/>
        <v>#N/A</v>
      </c>
      <c r="AH257" s="54" t="e">
        <f t="shared" si="43"/>
        <v>#N/A</v>
      </c>
      <c r="AI257" s="54"/>
      <c r="AJ257" s="54"/>
      <c r="AK257" s="54" t="s">
        <v>176</v>
      </c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  <c r="AX257" s="54"/>
      <c r="AY257" s="54"/>
      <c r="AZ257" s="54"/>
      <c r="BA257" s="54"/>
      <c r="BB257" s="54"/>
      <c r="BC257" s="54"/>
      <c r="BD257" s="54"/>
      <c r="BE257" s="54"/>
      <c r="BF257" s="54"/>
      <c r="BG257" s="54"/>
      <c r="BH257" s="54"/>
      <c r="BI257" s="54"/>
      <c r="BJ257" s="54"/>
      <c r="BK257" s="54"/>
    </row>
    <row r="258" spans="1:63" ht="30" customHeight="1">
      <c r="A258" s="51">
        <v>257</v>
      </c>
      <c r="B258" s="52" t="s">
        <v>49</v>
      </c>
      <c r="C258" s="51">
        <f t="shared" ref="C258:C321" si="45">YEAR(D258)</f>
        <v>2023</v>
      </c>
      <c r="D258" s="53">
        <v>45213</v>
      </c>
      <c r="E258" s="52" t="s">
        <v>446</v>
      </c>
      <c r="F258" s="51" t="s">
        <v>37</v>
      </c>
      <c r="G258" s="51" t="s">
        <v>63</v>
      </c>
      <c r="H258" s="51">
        <v>6</v>
      </c>
      <c r="I258" s="51">
        <v>6</v>
      </c>
      <c r="J258" s="51"/>
      <c r="K258" s="51" t="str">
        <f>IF(H258=I258,"完结",IF(H258&gt;I258,"未完结"))</f>
        <v>完结</v>
      </c>
      <c r="L258" s="51"/>
      <c r="M258" s="51"/>
      <c r="N258" s="51"/>
      <c r="O258" s="51"/>
      <c r="P258" s="51"/>
      <c r="Q258" s="51"/>
      <c r="R258" s="51"/>
      <c r="S258" s="51"/>
      <c r="T258" s="51"/>
      <c r="U258" s="59"/>
      <c r="V258" s="51"/>
      <c r="W258" s="51"/>
      <c r="X258" s="51"/>
      <c r="Y258" s="51"/>
      <c r="Z258" s="51"/>
      <c r="AA258" s="51"/>
      <c r="AB258" s="51"/>
      <c r="AC258" s="51"/>
      <c r="AD258" s="51"/>
      <c r="AE258" s="51" t="e">
        <f t="shared" si="40"/>
        <v>#N/A</v>
      </c>
      <c r="AF258" s="51" t="e">
        <f t="shared" si="41"/>
        <v>#N/A</v>
      </c>
      <c r="AG258" s="51" t="e">
        <f t="shared" si="42"/>
        <v>#N/A</v>
      </c>
      <c r="AH258" s="51" t="e">
        <f t="shared" si="43"/>
        <v>#N/A</v>
      </c>
      <c r="AI258" s="51"/>
      <c r="AJ258" s="51"/>
      <c r="AK258" s="51" t="s">
        <v>224</v>
      </c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</row>
    <row r="259" spans="1:63" ht="30" customHeight="1">
      <c r="A259" s="45">
        <v>258</v>
      </c>
      <c r="B259" s="46" t="s">
        <v>45</v>
      </c>
      <c r="C259" s="45">
        <f t="shared" si="45"/>
        <v>2023</v>
      </c>
      <c r="D259" s="47">
        <v>45236</v>
      </c>
      <c r="E259" s="46" t="s">
        <v>447</v>
      </c>
      <c r="F259" s="45" t="s">
        <v>107</v>
      </c>
      <c r="G259" s="45" t="s">
        <v>63</v>
      </c>
      <c r="H259" s="45" t="s">
        <v>107</v>
      </c>
      <c r="I259" s="45" t="s">
        <v>107</v>
      </c>
      <c r="J259" s="45"/>
      <c r="K259" s="45" t="s">
        <v>140</v>
      </c>
      <c r="L259" s="45"/>
      <c r="M259" s="45"/>
      <c r="N259" s="45"/>
      <c r="O259" s="45"/>
      <c r="P259" s="45"/>
      <c r="Q259" s="45"/>
      <c r="R259" s="45"/>
      <c r="S259" s="45"/>
      <c r="T259" s="45"/>
      <c r="U259" s="58"/>
      <c r="V259" s="45"/>
      <c r="W259" s="45"/>
      <c r="X259" s="45"/>
      <c r="Y259" s="45"/>
      <c r="Z259" s="45"/>
      <c r="AA259" s="45"/>
      <c r="AB259" s="45"/>
      <c r="AC259" s="45"/>
      <c r="AD259" s="45"/>
      <c r="AE259" s="45" t="e">
        <f t="shared" ref="AE259:AE322" si="46">VLOOKUP($E259,$Z$2:$AD$76,2,FALSE)</f>
        <v>#N/A</v>
      </c>
      <c r="AF259" s="45" t="e">
        <f t="shared" ref="AF259:AF322" si="47">VLOOKUP($E259,$Z$2:$AD$76,3,FALSE)</f>
        <v>#N/A</v>
      </c>
      <c r="AG259" s="45" t="e">
        <f t="shared" ref="AG259:AG322" si="48">VLOOKUP($E259,$Z$2:$AD$76,4,FALSE)</f>
        <v>#N/A</v>
      </c>
      <c r="AH259" s="45" t="e">
        <f t="shared" ref="AH259:AH322" si="49">VLOOKUP($E259,$Z$2:$AD$76,5,FALSE)</f>
        <v>#N/A</v>
      </c>
      <c r="AI259" s="45"/>
      <c r="AJ259" s="45"/>
      <c r="AK259" s="45" t="s">
        <v>143</v>
      </c>
      <c r="AL259" s="45"/>
      <c r="AM259" s="45"/>
      <c r="AN259" s="45"/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45"/>
      <c r="BE259" s="45"/>
      <c r="BF259" s="45"/>
      <c r="BG259" s="45"/>
      <c r="BH259" s="45"/>
      <c r="BI259" s="45"/>
      <c r="BJ259" s="45"/>
      <c r="BK259" s="45"/>
    </row>
    <row r="260" spans="1:63" ht="30" customHeight="1">
      <c r="A260" s="51">
        <v>259</v>
      </c>
      <c r="B260" s="52" t="s">
        <v>170</v>
      </c>
      <c r="C260" s="51">
        <f t="shared" si="45"/>
        <v>2023</v>
      </c>
      <c r="D260" s="53">
        <v>45237</v>
      </c>
      <c r="E260" s="52" t="s">
        <v>448</v>
      </c>
      <c r="F260" s="51" t="s">
        <v>81</v>
      </c>
      <c r="G260" s="51" t="s">
        <v>63</v>
      </c>
      <c r="H260" s="51">
        <v>4</v>
      </c>
      <c r="I260" s="51">
        <v>4</v>
      </c>
      <c r="J260" s="51"/>
      <c r="K260" s="51" t="str">
        <f>IF(H260=I260,"完结",IF(H260&gt;I260,"未完结"))</f>
        <v>完结</v>
      </c>
      <c r="L260" s="51"/>
      <c r="M260" s="51"/>
      <c r="N260" s="51"/>
      <c r="O260" s="51"/>
      <c r="P260" s="51"/>
      <c r="Q260" s="51"/>
      <c r="R260" s="51"/>
      <c r="S260" s="51"/>
      <c r="T260" s="51"/>
      <c r="U260" s="59"/>
      <c r="V260" s="51"/>
      <c r="W260" s="51"/>
      <c r="X260" s="51"/>
      <c r="Y260" s="51"/>
      <c r="Z260" s="51"/>
      <c r="AA260" s="51"/>
      <c r="AB260" s="51"/>
      <c r="AC260" s="51"/>
      <c r="AD260" s="51"/>
      <c r="AE260" s="51" t="e">
        <f t="shared" si="46"/>
        <v>#N/A</v>
      </c>
      <c r="AF260" s="51" t="e">
        <f t="shared" si="47"/>
        <v>#N/A</v>
      </c>
      <c r="AG260" s="51" t="e">
        <f t="shared" si="48"/>
        <v>#N/A</v>
      </c>
      <c r="AH260" s="51" t="e">
        <f t="shared" si="49"/>
        <v>#N/A</v>
      </c>
      <c r="AI260" s="51"/>
      <c r="AJ260" s="51"/>
      <c r="AK260" s="51" t="s">
        <v>44</v>
      </c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</row>
    <row r="261" spans="1:63" ht="30" customHeight="1">
      <c r="A261" s="48">
        <v>260</v>
      </c>
      <c r="B261" s="49" t="s">
        <v>82</v>
      </c>
      <c r="C261" s="48">
        <f t="shared" si="45"/>
        <v>2023</v>
      </c>
      <c r="D261" s="50">
        <v>45240</v>
      </c>
      <c r="E261" s="49" t="s">
        <v>449</v>
      </c>
      <c r="F261" s="48" t="s">
        <v>107</v>
      </c>
      <c r="G261" s="48" t="s">
        <v>80</v>
      </c>
      <c r="H261" s="48">
        <v>4</v>
      </c>
      <c r="I261" s="48">
        <v>1</v>
      </c>
      <c r="J261" s="48"/>
      <c r="K261" s="48" t="s">
        <v>140</v>
      </c>
      <c r="L261" s="48"/>
      <c r="M261" s="48"/>
      <c r="N261" s="48"/>
      <c r="O261" s="48"/>
      <c r="P261" s="48"/>
      <c r="Q261" s="48"/>
      <c r="R261" s="48"/>
      <c r="S261" s="48"/>
      <c r="T261" s="48"/>
      <c r="U261" s="59"/>
      <c r="V261" s="48"/>
      <c r="W261" s="48"/>
      <c r="X261" s="48"/>
      <c r="Y261" s="48"/>
      <c r="Z261" s="48"/>
      <c r="AA261" s="48"/>
      <c r="AB261" s="48"/>
      <c r="AC261" s="48"/>
      <c r="AD261" s="48"/>
      <c r="AE261" s="48" t="e">
        <f t="shared" si="46"/>
        <v>#N/A</v>
      </c>
      <c r="AF261" s="48" t="e">
        <f t="shared" si="47"/>
        <v>#N/A</v>
      </c>
      <c r="AG261" s="48" t="e">
        <f t="shared" si="48"/>
        <v>#N/A</v>
      </c>
      <c r="AH261" s="48" t="e">
        <f t="shared" si="49"/>
        <v>#N/A</v>
      </c>
      <c r="AI261" s="48"/>
      <c r="AJ261" s="48"/>
      <c r="AK261" s="48" t="s">
        <v>143</v>
      </c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</row>
    <row r="262" spans="1:63" ht="30" customHeight="1">
      <c r="A262" s="51">
        <v>261</v>
      </c>
      <c r="B262" s="52" t="s">
        <v>82</v>
      </c>
      <c r="C262" s="51">
        <f t="shared" si="45"/>
        <v>2023</v>
      </c>
      <c r="D262" s="53">
        <v>45251</v>
      </c>
      <c r="E262" s="52" t="s">
        <v>450</v>
      </c>
      <c r="F262" s="51" t="s">
        <v>424</v>
      </c>
      <c r="G262" s="51" t="s">
        <v>63</v>
      </c>
      <c r="H262" s="51">
        <v>4</v>
      </c>
      <c r="I262" s="51">
        <v>4</v>
      </c>
      <c r="J262" s="51"/>
      <c r="K262" s="51" t="str">
        <f t="shared" ref="K262:K268" si="50">IF(H262=I262,"完结",IF(H262&gt;I262,"未完结"))</f>
        <v>完结</v>
      </c>
      <c r="L262" s="51"/>
      <c r="M262" s="51"/>
      <c r="N262" s="51"/>
      <c r="O262" s="51"/>
      <c r="P262" s="51"/>
      <c r="Q262" s="51"/>
      <c r="R262" s="51"/>
      <c r="S262" s="51"/>
      <c r="T262" s="51"/>
      <c r="U262" s="59"/>
      <c r="V262" s="51"/>
      <c r="W262" s="51"/>
      <c r="X262" s="51"/>
      <c r="Y262" s="51"/>
      <c r="Z262" s="51"/>
      <c r="AA262" s="51"/>
      <c r="AB262" s="51"/>
      <c r="AC262" s="51"/>
      <c r="AD262" s="51"/>
      <c r="AE262" s="51" t="e">
        <f t="shared" si="46"/>
        <v>#N/A</v>
      </c>
      <c r="AF262" s="51" t="e">
        <f t="shared" si="47"/>
        <v>#N/A</v>
      </c>
      <c r="AG262" s="51" t="e">
        <f t="shared" si="48"/>
        <v>#N/A</v>
      </c>
      <c r="AH262" s="51" t="e">
        <f t="shared" si="49"/>
        <v>#N/A</v>
      </c>
      <c r="AI262" s="51"/>
      <c r="AJ262" s="51"/>
      <c r="AK262" s="51" t="s">
        <v>427</v>
      </c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</row>
    <row r="263" spans="1:63" ht="30" customHeight="1">
      <c r="A263" s="54">
        <v>262</v>
      </c>
      <c r="B263" s="42" t="s">
        <v>49</v>
      </c>
      <c r="C263" s="54">
        <f t="shared" si="45"/>
        <v>2023</v>
      </c>
      <c r="D263" s="55">
        <v>45260</v>
      </c>
      <c r="E263" s="42" t="s">
        <v>451</v>
      </c>
      <c r="F263" s="54" t="s">
        <v>424</v>
      </c>
      <c r="G263" s="54" t="s">
        <v>57</v>
      </c>
      <c r="H263" s="54">
        <v>5</v>
      </c>
      <c r="I263" s="54">
        <v>5</v>
      </c>
      <c r="J263" s="54"/>
      <c r="K263" s="54" t="str">
        <f t="shared" si="50"/>
        <v>完结</v>
      </c>
      <c r="L263" s="54"/>
      <c r="M263" s="54"/>
      <c r="N263" s="54"/>
      <c r="O263" s="54"/>
      <c r="P263" s="54" t="s">
        <v>40</v>
      </c>
      <c r="Q263" s="54" t="s">
        <v>181</v>
      </c>
      <c r="R263" s="54" t="s">
        <v>87</v>
      </c>
      <c r="S263" s="54" t="s">
        <v>43</v>
      </c>
      <c r="T263" s="54"/>
      <c r="U263" s="59"/>
      <c r="V263" s="54"/>
      <c r="W263" s="54"/>
      <c r="X263" s="54"/>
      <c r="Y263" s="54"/>
      <c r="Z263" s="54"/>
      <c r="AA263" s="54"/>
      <c r="AB263" s="54"/>
      <c r="AC263" s="54"/>
      <c r="AD263" s="54"/>
      <c r="AE263" s="54" t="str">
        <f t="shared" si="46"/>
        <v>省版</v>
      </c>
      <c r="AF263" s="54" t="str">
        <f t="shared" si="47"/>
        <v>2025/6/2</v>
      </c>
      <c r="AG263" s="54" t="str">
        <f t="shared" si="48"/>
        <v>2025/7/3</v>
      </c>
      <c r="AH263" s="54" t="str">
        <f t="shared" si="49"/>
        <v>已发证</v>
      </c>
      <c r="AI263" s="54"/>
      <c r="AJ263" s="54"/>
      <c r="AK263" s="54" t="s">
        <v>224</v>
      </c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  <c r="AX263" s="54"/>
      <c r="AY263" s="54"/>
      <c r="AZ263" s="54"/>
      <c r="BA263" s="54"/>
      <c r="BB263" s="54"/>
      <c r="BC263" s="54"/>
      <c r="BD263" s="54"/>
      <c r="BE263" s="54"/>
      <c r="BF263" s="54"/>
      <c r="BG263" s="54"/>
      <c r="BH263" s="54"/>
      <c r="BI263" s="54"/>
      <c r="BJ263" s="54"/>
      <c r="BK263" s="54"/>
    </row>
    <row r="264" spans="1:63" ht="30" customHeight="1">
      <c r="A264" s="51">
        <v>263</v>
      </c>
      <c r="B264" s="52" t="s">
        <v>58</v>
      </c>
      <c r="C264" s="51">
        <f t="shared" si="45"/>
        <v>2023</v>
      </c>
      <c r="D264" s="53">
        <v>45262</v>
      </c>
      <c r="E264" s="52" t="s">
        <v>202</v>
      </c>
      <c r="F264" s="51" t="s">
        <v>424</v>
      </c>
      <c r="G264" s="51" t="s">
        <v>57</v>
      </c>
      <c r="H264" s="51">
        <v>3</v>
      </c>
      <c r="I264" s="51">
        <v>3</v>
      </c>
      <c r="J264" s="51"/>
      <c r="K264" s="51" t="str">
        <f t="shared" si="50"/>
        <v>完结</v>
      </c>
      <c r="L264" s="51"/>
      <c r="M264" s="51"/>
      <c r="N264" s="51"/>
      <c r="O264" s="51"/>
      <c r="P264" s="51" t="s">
        <v>40</v>
      </c>
      <c r="Q264" s="51" t="s">
        <v>56</v>
      </c>
      <c r="R264" s="51" t="s">
        <v>42</v>
      </c>
      <c r="S264" s="51" t="s">
        <v>43</v>
      </c>
      <c r="T264" s="51"/>
      <c r="U264" s="59"/>
      <c r="V264" s="51"/>
      <c r="W264" s="51"/>
      <c r="X264" s="51"/>
      <c r="Y264" s="51"/>
      <c r="Z264" s="51"/>
      <c r="AA264" s="51"/>
      <c r="AB264" s="51"/>
      <c r="AC264" s="51"/>
      <c r="AD264" s="51"/>
      <c r="AE264" s="51" t="str">
        <f t="shared" si="46"/>
        <v>省版</v>
      </c>
      <c r="AF264" s="51" t="str">
        <f t="shared" si="47"/>
        <v>2025/6/4</v>
      </c>
      <c r="AG264" s="51" t="str">
        <f t="shared" si="48"/>
        <v>2025/7/4</v>
      </c>
      <c r="AH264" s="51" t="str">
        <f t="shared" si="49"/>
        <v>已发证</v>
      </c>
      <c r="AI264" s="51"/>
      <c r="AJ264" s="51"/>
      <c r="AK264" s="51" t="s">
        <v>224</v>
      </c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</row>
    <row r="265" spans="1:63" ht="30" customHeight="1">
      <c r="A265" s="45">
        <v>264</v>
      </c>
      <c r="B265" s="46" t="s">
        <v>58</v>
      </c>
      <c r="C265" s="45">
        <f t="shared" si="45"/>
        <v>2023</v>
      </c>
      <c r="D265" s="47">
        <v>45279</v>
      </c>
      <c r="E265" s="46" t="s">
        <v>452</v>
      </c>
      <c r="F265" s="45" t="s">
        <v>424</v>
      </c>
      <c r="G265" s="45" t="s">
        <v>63</v>
      </c>
      <c r="H265" s="45">
        <v>4</v>
      </c>
      <c r="I265" s="45">
        <v>4</v>
      </c>
      <c r="J265" s="45"/>
      <c r="K265" s="45" t="str">
        <f t="shared" si="50"/>
        <v>完结</v>
      </c>
      <c r="L265" s="45"/>
      <c r="M265" s="45"/>
      <c r="N265" s="45"/>
      <c r="O265" s="45"/>
      <c r="P265" s="45"/>
      <c r="Q265" s="45"/>
      <c r="R265" s="45"/>
      <c r="S265" s="45"/>
      <c r="T265" s="45"/>
      <c r="U265" s="58"/>
      <c r="V265" s="45"/>
      <c r="W265" s="45"/>
      <c r="X265" s="45"/>
      <c r="Y265" s="45"/>
      <c r="Z265" s="45"/>
      <c r="AA265" s="45"/>
      <c r="AB265" s="45"/>
      <c r="AC265" s="45"/>
      <c r="AD265" s="45"/>
      <c r="AE265" s="45" t="e">
        <f t="shared" si="46"/>
        <v>#N/A</v>
      </c>
      <c r="AF265" s="45" t="e">
        <f t="shared" si="47"/>
        <v>#N/A</v>
      </c>
      <c r="AG265" s="45" t="e">
        <f t="shared" si="48"/>
        <v>#N/A</v>
      </c>
      <c r="AH265" s="45" t="e">
        <f t="shared" si="49"/>
        <v>#N/A</v>
      </c>
      <c r="AI265" s="45"/>
      <c r="AJ265" s="45"/>
      <c r="AK265" s="45" t="s">
        <v>224</v>
      </c>
      <c r="AL265" s="45"/>
      <c r="AM265" s="45"/>
      <c r="AN265" s="45"/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45"/>
      <c r="BE265" s="45"/>
      <c r="BF265" s="45"/>
      <c r="BG265" s="45"/>
      <c r="BH265" s="45"/>
      <c r="BI265" s="45"/>
      <c r="BJ265" s="45"/>
      <c r="BK265" s="45"/>
    </row>
    <row r="266" spans="1:63" ht="30" customHeight="1">
      <c r="A266" s="51">
        <v>265</v>
      </c>
      <c r="B266" s="52" t="s">
        <v>82</v>
      </c>
      <c r="C266" s="51">
        <f t="shared" si="45"/>
        <v>2023</v>
      </c>
      <c r="D266" s="53">
        <v>45282</v>
      </c>
      <c r="E266" s="52" t="s">
        <v>207</v>
      </c>
      <c r="F266" s="51" t="s">
        <v>424</v>
      </c>
      <c r="G266" s="51" t="s">
        <v>57</v>
      </c>
      <c r="H266" s="51">
        <v>5</v>
      </c>
      <c r="I266" s="51">
        <v>5</v>
      </c>
      <c r="J266" s="51"/>
      <c r="K266" s="51" t="str">
        <f t="shared" si="50"/>
        <v>完结</v>
      </c>
      <c r="L266" s="51"/>
      <c r="M266" s="51"/>
      <c r="N266" s="51"/>
      <c r="O266" s="51"/>
      <c r="P266" s="51" t="s">
        <v>40</v>
      </c>
      <c r="Q266" s="51" t="s">
        <v>205</v>
      </c>
      <c r="R266" s="51" t="s">
        <v>87</v>
      </c>
      <c r="S266" s="51" t="s">
        <v>43</v>
      </c>
      <c r="T266" s="51"/>
      <c r="U266" s="59"/>
      <c r="V266" s="51"/>
      <c r="W266" s="51"/>
      <c r="X266" s="51"/>
      <c r="Y266" s="51"/>
      <c r="Z266" s="51"/>
      <c r="AA266" s="51"/>
      <c r="AB266" s="51"/>
      <c r="AC266" s="51"/>
      <c r="AD266" s="51"/>
      <c r="AE266" s="51" t="str">
        <f t="shared" si="46"/>
        <v>省版</v>
      </c>
      <c r="AF266" s="51" t="str">
        <f t="shared" si="47"/>
        <v>2025/5/31</v>
      </c>
      <c r="AG266" s="51" t="str">
        <f t="shared" si="48"/>
        <v>2025/7/3</v>
      </c>
      <c r="AH266" s="51" t="str">
        <f t="shared" si="49"/>
        <v>已发证</v>
      </c>
      <c r="AI266" s="51"/>
      <c r="AJ266" s="51"/>
      <c r="AK266" s="51" t="s">
        <v>427</v>
      </c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</row>
    <row r="267" spans="1:63" ht="30" customHeight="1">
      <c r="A267" s="48">
        <v>266</v>
      </c>
      <c r="B267" s="49" t="s">
        <v>170</v>
      </c>
      <c r="C267" s="48">
        <f t="shared" si="45"/>
        <v>2024</v>
      </c>
      <c r="D267" s="50">
        <v>45302</v>
      </c>
      <c r="E267" s="49" t="s">
        <v>453</v>
      </c>
      <c r="F267" s="48" t="s">
        <v>54</v>
      </c>
      <c r="G267" s="48" t="s">
        <v>57</v>
      </c>
      <c r="H267" s="48">
        <v>6</v>
      </c>
      <c r="I267" s="48">
        <v>6</v>
      </c>
      <c r="J267" s="48"/>
      <c r="K267" s="48" t="str">
        <f t="shared" si="50"/>
        <v>完结</v>
      </c>
      <c r="L267" s="48"/>
      <c r="M267" s="48"/>
      <c r="N267" s="48"/>
      <c r="O267" s="48"/>
      <c r="P267" s="48"/>
      <c r="Q267" s="48"/>
      <c r="R267" s="48"/>
      <c r="S267" s="48"/>
      <c r="T267" s="48"/>
      <c r="U267" s="59"/>
      <c r="V267" s="48"/>
      <c r="W267" s="48"/>
      <c r="X267" s="48"/>
      <c r="Y267" s="48"/>
      <c r="Z267" s="48"/>
      <c r="AA267" s="48"/>
      <c r="AB267" s="48"/>
      <c r="AC267" s="48"/>
      <c r="AD267" s="48"/>
      <c r="AE267" s="48" t="e">
        <f t="shared" si="46"/>
        <v>#N/A</v>
      </c>
      <c r="AF267" s="48" t="e">
        <f t="shared" si="47"/>
        <v>#N/A</v>
      </c>
      <c r="AG267" s="48" t="e">
        <f t="shared" si="48"/>
        <v>#N/A</v>
      </c>
      <c r="AH267" s="48" t="e">
        <f t="shared" si="49"/>
        <v>#N/A</v>
      </c>
      <c r="AI267" s="48"/>
      <c r="AJ267" s="48"/>
      <c r="AK267" s="48" t="s">
        <v>224</v>
      </c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</row>
    <row r="268" spans="1:63" ht="30" customHeight="1">
      <c r="A268" s="51">
        <v>267</v>
      </c>
      <c r="B268" s="52" t="s">
        <v>58</v>
      </c>
      <c r="C268" s="51">
        <f t="shared" si="45"/>
        <v>2024</v>
      </c>
      <c r="D268" s="53">
        <v>45306</v>
      </c>
      <c r="E268" s="52" t="s">
        <v>274</v>
      </c>
      <c r="F268" s="51" t="s">
        <v>424</v>
      </c>
      <c r="G268" s="51" t="s">
        <v>63</v>
      </c>
      <c r="H268" s="51">
        <v>4</v>
      </c>
      <c r="I268" s="51">
        <v>4</v>
      </c>
      <c r="J268" s="51"/>
      <c r="K268" s="51" t="str">
        <f t="shared" si="50"/>
        <v>完结</v>
      </c>
      <c r="L268" s="51"/>
      <c r="M268" s="51"/>
      <c r="N268" s="51"/>
      <c r="O268" s="51"/>
      <c r="P268" s="51" t="s">
        <v>40</v>
      </c>
      <c r="Q268" s="51" t="s">
        <v>216</v>
      </c>
      <c r="R268" s="51" t="s">
        <v>70</v>
      </c>
      <c r="S268" s="51" t="s">
        <v>43</v>
      </c>
      <c r="T268" s="51"/>
      <c r="U268" s="59"/>
      <c r="V268" s="51"/>
      <c r="W268" s="51"/>
      <c r="X268" s="51"/>
      <c r="Y268" s="51"/>
      <c r="Z268" s="51"/>
      <c r="AA268" s="51"/>
      <c r="AB268" s="51"/>
      <c r="AC268" s="51"/>
      <c r="AD268" s="51"/>
      <c r="AE268" s="51" t="str">
        <f t="shared" si="46"/>
        <v>省版</v>
      </c>
      <c r="AF268" s="51" t="str">
        <f t="shared" si="47"/>
        <v>2025/5/29</v>
      </c>
      <c r="AG268" s="51" t="str">
        <f t="shared" si="48"/>
        <v>2025/5/30</v>
      </c>
      <c r="AH268" s="51" t="str">
        <f t="shared" si="49"/>
        <v>已发证</v>
      </c>
      <c r="AI268" s="51"/>
      <c r="AJ268" s="51"/>
      <c r="AK268" s="51" t="s">
        <v>76</v>
      </c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</row>
    <row r="269" spans="1:63" ht="30" customHeight="1">
      <c r="A269" s="54">
        <v>268</v>
      </c>
      <c r="B269" s="42" t="s">
        <v>58</v>
      </c>
      <c r="C269" s="54">
        <f t="shared" si="45"/>
        <v>2024</v>
      </c>
      <c r="D269" s="55">
        <v>45310</v>
      </c>
      <c r="E269" s="42" t="s">
        <v>243</v>
      </c>
      <c r="F269" s="54" t="s">
        <v>424</v>
      </c>
      <c r="G269" s="54" t="s">
        <v>57</v>
      </c>
      <c r="H269" s="54">
        <v>4</v>
      </c>
      <c r="I269" s="54">
        <v>2</v>
      </c>
      <c r="J269" s="54"/>
      <c r="K269" s="54" t="str">
        <f>IF(H269=I269,"完结",IF(H269&gt;I269,"下载中"))</f>
        <v>下载中</v>
      </c>
      <c r="L269" s="54"/>
      <c r="M269" s="54"/>
      <c r="N269" s="54"/>
      <c r="O269" s="54"/>
      <c r="P269" s="54">
        <v>0</v>
      </c>
      <c r="Q269" s="54" t="s">
        <v>70</v>
      </c>
      <c r="R269" s="54">
        <v>0</v>
      </c>
      <c r="S269" s="54" t="s">
        <v>71</v>
      </c>
      <c r="T269" s="54"/>
      <c r="U269" s="59"/>
      <c r="V269" s="54"/>
      <c r="W269" s="54"/>
      <c r="X269" s="54"/>
      <c r="Y269" s="54"/>
      <c r="Z269" s="54"/>
      <c r="AA269" s="54"/>
      <c r="AB269" s="54"/>
      <c r="AC269" s="54"/>
      <c r="AD269" s="54"/>
      <c r="AE269" s="54">
        <f t="shared" si="46"/>
        <v>0</v>
      </c>
      <c r="AF269" s="54" t="str">
        <f t="shared" si="47"/>
        <v>2025/5/30</v>
      </c>
      <c r="AG269" s="54">
        <f t="shared" si="48"/>
        <v>0</v>
      </c>
      <c r="AH269" s="54" t="str">
        <f t="shared" si="49"/>
        <v>阶段稿已存证</v>
      </c>
      <c r="AI269" s="54"/>
      <c r="AJ269" s="54"/>
      <c r="AK269" s="54" t="s">
        <v>76</v>
      </c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  <c r="AX269" s="54"/>
      <c r="AY269" s="54"/>
      <c r="AZ269" s="54"/>
      <c r="BA269" s="54"/>
      <c r="BB269" s="54"/>
      <c r="BC269" s="54"/>
      <c r="BD269" s="54"/>
      <c r="BE269" s="54"/>
      <c r="BF269" s="54"/>
      <c r="BG269" s="54"/>
      <c r="BH269" s="54"/>
      <c r="BI269" s="54"/>
      <c r="BJ269" s="54"/>
      <c r="BK269" s="54"/>
    </row>
    <row r="270" spans="1:63" ht="30" customHeight="1">
      <c r="A270" s="51">
        <v>269</v>
      </c>
      <c r="B270" s="52" t="s">
        <v>94</v>
      </c>
      <c r="C270" s="51">
        <f t="shared" si="45"/>
        <v>2024</v>
      </c>
      <c r="D270" s="53">
        <v>45385</v>
      </c>
      <c r="E270" s="52" t="s">
        <v>454</v>
      </c>
      <c r="F270" s="51" t="s">
        <v>54</v>
      </c>
      <c r="G270" s="51" t="s">
        <v>157</v>
      </c>
      <c r="H270" s="51">
        <v>7</v>
      </c>
      <c r="I270" s="51">
        <v>5</v>
      </c>
      <c r="J270" s="51"/>
      <c r="K270" s="51" t="str">
        <f>IF(H270=I270,"完结",IF(H270&gt;I270,"下载中"))</f>
        <v>下载中</v>
      </c>
      <c r="L270" s="51"/>
      <c r="M270" s="51"/>
      <c r="N270" s="51"/>
      <c r="O270" s="51"/>
      <c r="P270" s="51"/>
      <c r="Q270" s="51"/>
      <c r="R270" s="51"/>
      <c r="S270" s="51"/>
      <c r="T270" s="51"/>
      <c r="U270" s="59"/>
      <c r="V270" s="51"/>
      <c r="W270" s="51"/>
      <c r="X270" s="51"/>
      <c r="Y270" s="51"/>
      <c r="Z270" s="51"/>
      <c r="AA270" s="51"/>
      <c r="AB270" s="51"/>
      <c r="AC270" s="51"/>
      <c r="AD270" s="51"/>
      <c r="AE270" s="51" t="e">
        <f t="shared" si="46"/>
        <v>#N/A</v>
      </c>
      <c r="AF270" s="51" t="e">
        <f t="shared" si="47"/>
        <v>#N/A</v>
      </c>
      <c r="AG270" s="51" t="e">
        <f t="shared" si="48"/>
        <v>#N/A</v>
      </c>
      <c r="AH270" s="51" t="e">
        <f t="shared" si="49"/>
        <v>#N/A</v>
      </c>
      <c r="AI270" s="51"/>
      <c r="AJ270" s="51"/>
      <c r="AK270" s="51" t="s">
        <v>176</v>
      </c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</row>
    <row r="271" spans="1:63" ht="30" customHeight="1">
      <c r="A271" s="45">
        <v>270</v>
      </c>
      <c r="B271" s="46" t="s">
        <v>170</v>
      </c>
      <c r="C271" s="45">
        <f t="shared" si="45"/>
        <v>2024</v>
      </c>
      <c r="D271" s="47">
        <v>45389</v>
      </c>
      <c r="E271" s="46" t="s">
        <v>455</v>
      </c>
      <c r="F271" s="45" t="s">
        <v>107</v>
      </c>
      <c r="G271" s="45" t="s">
        <v>186</v>
      </c>
      <c r="H271" s="45" t="s">
        <v>107</v>
      </c>
      <c r="I271" s="45"/>
      <c r="J271" s="45"/>
      <c r="K271" s="45" t="s">
        <v>140</v>
      </c>
      <c r="L271" s="45"/>
      <c r="M271" s="45"/>
      <c r="N271" s="45"/>
      <c r="O271" s="45"/>
      <c r="P271" s="45"/>
      <c r="Q271" s="45"/>
      <c r="R271" s="45"/>
      <c r="S271" s="45"/>
      <c r="T271" s="45"/>
      <c r="U271" s="58"/>
      <c r="V271" s="45"/>
      <c r="W271" s="45"/>
      <c r="X271" s="45"/>
      <c r="Y271" s="45"/>
      <c r="Z271" s="45"/>
      <c r="AA271" s="45"/>
      <c r="AB271" s="45"/>
      <c r="AC271" s="45"/>
      <c r="AD271" s="45"/>
      <c r="AE271" s="45" t="e">
        <f t="shared" si="46"/>
        <v>#N/A</v>
      </c>
      <c r="AF271" s="45" t="e">
        <f t="shared" si="47"/>
        <v>#N/A</v>
      </c>
      <c r="AG271" s="45" t="e">
        <f t="shared" si="48"/>
        <v>#N/A</v>
      </c>
      <c r="AH271" s="45" t="e">
        <f t="shared" si="49"/>
        <v>#N/A</v>
      </c>
      <c r="AI271" s="45"/>
      <c r="AJ271" s="45"/>
      <c r="AK271" s="45" t="s">
        <v>143</v>
      </c>
      <c r="AL271" s="45"/>
      <c r="AM271" s="45"/>
      <c r="AN271" s="45"/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45"/>
      <c r="BE271" s="45"/>
      <c r="BF271" s="45"/>
      <c r="BG271" s="45"/>
      <c r="BH271" s="45"/>
      <c r="BI271" s="45"/>
      <c r="BJ271" s="45"/>
      <c r="BK271" s="45"/>
    </row>
    <row r="272" spans="1:63" ht="30" customHeight="1">
      <c r="A272" s="51">
        <v>271</v>
      </c>
      <c r="B272" s="52" t="s">
        <v>110</v>
      </c>
      <c r="C272" s="51">
        <f t="shared" si="45"/>
        <v>2024</v>
      </c>
      <c r="D272" s="53">
        <v>45410</v>
      </c>
      <c r="E272" s="52" t="s">
        <v>112</v>
      </c>
      <c r="F272" s="51" t="s">
        <v>81</v>
      </c>
      <c r="G272" s="51" t="s">
        <v>80</v>
      </c>
      <c r="H272" s="51">
        <v>6</v>
      </c>
      <c r="I272" s="51">
        <v>6</v>
      </c>
      <c r="J272" s="51"/>
      <c r="K272" s="51" t="str">
        <f>IF(H272=I272,"完结",IF(H272&gt;I272,"未完结"))</f>
        <v>完结</v>
      </c>
      <c r="L272" s="51"/>
      <c r="M272" s="51"/>
      <c r="N272" s="51"/>
      <c r="O272" s="51"/>
      <c r="P272" s="51" t="s">
        <v>40</v>
      </c>
      <c r="Q272" s="51" t="s">
        <v>67</v>
      </c>
      <c r="R272" s="51">
        <v>0</v>
      </c>
      <c r="S272" s="51">
        <v>0</v>
      </c>
      <c r="T272" s="51"/>
      <c r="U272" s="59"/>
      <c r="V272" s="51"/>
      <c r="W272" s="51"/>
      <c r="X272" s="51"/>
      <c r="Y272" s="51"/>
      <c r="Z272" s="51"/>
      <c r="AA272" s="51"/>
      <c r="AB272" s="51"/>
      <c r="AC272" s="51"/>
      <c r="AD272" s="51"/>
      <c r="AE272" s="51" t="str">
        <f t="shared" si="46"/>
        <v>省版</v>
      </c>
      <c r="AF272" s="51" t="str">
        <f t="shared" si="47"/>
        <v>2025/6/5</v>
      </c>
      <c r="AG272" s="51">
        <f t="shared" si="48"/>
        <v>0</v>
      </c>
      <c r="AH272" s="51">
        <f t="shared" si="49"/>
        <v>0</v>
      </c>
      <c r="AI272" s="51"/>
      <c r="AJ272" s="51"/>
      <c r="AK272" s="51" t="s">
        <v>359</v>
      </c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</row>
    <row r="273" spans="1:63" ht="30" customHeight="1">
      <c r="A273" s="48">
        <v>272</v>
      </c>
      <c r="B273" s="49" t="s">
        <v>110</v>
      </c>
      <c r="C273" s="48">
        <f t="shared" si="45"/>
        <v>2024</v>
      </c>
      <c r="D273" s="50">
        <v>45416</v>
      </c>
      <c r="E273" s="49" t="s">
        <v>456</v>
      </c>
      <c r="F273" s="48" t="s">
        <v>81</v>
      </c>
      <c r="G273" s="48" t="s">
        <v>80</v>
      </c>
      <c r="H273" s="48">
        <v>5</v>
      </c>
      <c r="I273" s="48">
        <v>5</v>
      </c>
      <c r="J273" s="48"/>
      <c r="K273" s="48" t="str">
        <f>IF(H273=I273,"完结",IF(H273&gt;I273,"未完结"))</f>
        <v>完结</v>
      </c>
      <c r="L273" s="48"/>
      <c r="M273" s="48"/>
      <c r="N273" s="48"/>
      <c r="O273" s="48"/>
      <c r="P273" s="48"/>
      <c r="Q273" s="48"/>
      <c r="R273" s="48"/>
      <c r="S273" s="48"/>
      <c r="T273" s="48"/>
      <c r="U273" s="59"/>
      <c r="V273" s="48"/>
      <c r="W273" s="48"/>
      <c r="X273" s="48"/>
      <c r="Y273" s="48"/>
      <c r="Z273" s="48"/>
      <c r="AA273" s="48"/>
      <c r="AB273" s="48"/>
      <c r="AC273" s="48"/>
      <c r="AD273" s="48"/>
      <c r="AE273" s="48" t="e">
        <f t="shared" si="46"/>
        <v>#N/A</v>
      </c>
      <c r="AF273" s="48" t="e">
        <f t="shared" si="47"/>
        <v>#N/A</v>
      </c>
      <c r="AG273" s="48" t="e">
        <f t="shared" si="48"/>
        <v>#N/A</v>
      </c>
      <c r="AH273" s="48" t="e">
        <f t="shared" si="49"/>
        <v>#N/A</v>
      </c>
      <c r="AI273" s="48"/>
      <c r="AJ273" s="48"/>
      <c r="AK273" s="48" t="s">
        <v>359</v>
      </c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</row>
    <row r="274" spans="1:63" ht="30" customHeight="1">
      <c r="A274" s="51">
        <v>273</v>
      </c>
      <c r="B274" s="52" t="s">
        <v>73</v>
      </c>
      <c r="C274" s="51">
        <f t="shared" si="45"/>
        <v>2024</v>
      </c>
      <c r="D274" s="53">
        <v>45420</v>
      </c>
      <c r="E274" s="52" t="s">
        <v>457</v>
      </c>
      <c r="F274" s="51" t="s">
        <v>107</v>
      </c>
      <c r="G274" s="51" t="s">
        <v>157</v>
      </c>
      <c r="H274" s="51" t="s">
        <v>107</v>
      </c>
      <c r="I274" s="51"/>
      <c r="J274" s="51"/>
      <c r="K274" s="51" t="s">
        <v>140</v>
      </c>
      <c r="L274" s="51"/>
      <c r="M274" s="51"/>
      <c r="N274" s="51"/>
      <c r="O274" s="51"/>
      <c r="P274" s="51"/>
      <c r="Q274" s="51"/>
      <c r="R274" s="51"/>
      <c r="S274" s="51"/>
      <c r="T274" s="51"/>
      <c r="U274" s="59"/>
      <c r="V274" s="51"/>
      <c r="W274" s="51"/>
      <c r="X274" s="51"/>
      <c r="Y274" s="51"/>
      <c r="Z274" s="51"/>
      <c r="AA274" s="51"/>
      <c r="AB274" s="51"/>
      <c r="AC274" s="51"/>
      <c r="AD274" s="51"/>
      <c r="AE274" s="51" t="e">
        <f t="shared" si="46"/>
        <v>#N/A</v>
      </c>
      <c r="AF274" s="51" t="e">
        <f t="shared" si="47"/>
        <v>#N/A</v>
      </c>
      <c r="AG274" s="51" t="e">
        <f t="shared" si="48"/>
        <v>#N/A</v>
      </c>
      <c r="AH274" s="51" t="e">
        <f t="shared" si="49"/>
        <v>#N/A</v>
      </c>
      <c r="AI274" s="51"/>
      <c r="AJ274" s="51"/>
      <c r="AK274" s="51" t="s">
        <v>143</v>
      </c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</row>
    <row r="275" spans="1:63" ht="30" customHeight="1">
      <c r="A275" s="54">
        <v>274</v>
      </c>
      <c r="B275" s="42" t="s">
        <v>110</v>
      </c>
      <c r="C275" s="54">
        <f t="shared" si="45"/>
        <v>2024</v>
      </c>
      <c r="D275" s="55">
        <v>45435</v>
      </c>
      <c r="E275" s="42" t="s">
        <v>458</v>
      </c>
      <c r="F275" s="54" t="s">
        <v>54</v>
      </c>
      <c r="G275" s="54" t="s">
        <v>134</v>
      </c>
      <c r="H275" s="54">
        <v>5</v>
      </c>
      <c r="I275" s="54">
        <v>3</v>
      </c>
      <c r="J275" s="54"/>
      <c r="K275" s="54" t="str">
        <f>IF(H275=I275,"完结",IF(H275&gt;I275,"下载中"))</f>
        <v>下载中</v>
      </c>
      <c r="L275" s="54"/>
      <c r="M275" s="54"/>
      <c r="N275" s="54"/>
      <c r="O275" s="54"/>
      <c r="P275" s="54"/>
      <c r="Q275" s="54"/>
      <c r="R275" s="54"/>
      <c r="S275" s="54"/>
      <c r="T275" s="54"/>
      <c r="U275" s="59"/>
      <c r="V275" s="54"/>
      <c r="W275" s="54"/>
      <c r="X275" s="54"/>
      <c r="Y275" s="54"/>
      <c r="Z275" s="54"/>
      <c r="AA275" s="54"/>
      <c r="AB275" s="54"/>
      <c r="AC275" s="54"/>
      <c r="AD275" s="54"/>
      <c r="AE275" s="54" t="e">
        <f t="shared" si="46"/>
        <v>#N/A</v>
      </c>
      <c r="AF275" s="54" t="e">
        <f t="shared" si="47"/>
        <v>#N/A</v>
      </c>
      <c r="AG275" s="54" t="e">
        <f t="shared" si="48"/>
        <v>#N/A</v>
      </c>
      <c r="AH275" s="54" t="e">
        <f t="shared" si="49"/>
        <v>#N/A</v>
      </c>
      <c r="AI275" s="54"/>
      <c r="AJ275" s="54"/>
      <c r="AK275" s="54" t="s">
        <v>359</v>
      </c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  <c r="AX275" s="54"/>
      <c r="AY275" s="54"/>
      <c r="AZ275" s="54"/>
      <c r="BA275" s="54"/>
      <c r="BB275" s="54"/>
      <c r="BC275" s="54"/>
      <c r="BD275" s="54"/>
      <c r="BE275" s="54"/>
      <c r="BF275" s="54"/>
      <c r="BG275" s="54"/>
      <c r="BH275" s="54"/>
      <c r="BI275" s="54"/>
      <c r="BJ275" s="54"/>
      <c r="BK275" s="54"/>
    </row>
    <row r="276" spans="1:63" ht="30" customHeight="1">
      <c r="A276" s="51">
        <v>275</v>
      </c>
      <c r="B276" s="52" t="s">
        <v>110</v>
      </c>
      <c r="C276" s="51">
        <f t="shared" si="45"/>
        <v>2024</v>
      </c>
      <c r="D276" s="53">
        <v>45438</v>
      </c>
      <c r="E276" s="52" t="s">
        <v>117</v>
      </c>
      <c r="F276" s="51" t="s">
        <v>81</v>
      </c>
      <c r="G276" s="51" t="s">
        <v>57</v>
      </c>
      <c r="H276" s="51">
        <v>5</v>
      </c>
      <c r="I276" s="51">
        <v>5</v>
      </c>
      <c r="J276" s="51"/>
      <c r="K276" s="51" t="str">
        <f>IF(H276=I276,"完结",IF(H276&gt;I276,"未完结"))</f>
        <v>完结</v>
      </c>
      <c r="L276" s="51"/>
      <c r="M276" s="51"/>
      <c r="N276" s="51"/>
      <c r="O276" s="51"/>
      <c r="P276" s="51" t="s">
        <v>40</v>
      </c>
      <c r="Q276" s="51" t="s">
        <v>67</v>
      </c>
      <c r="R276" s="51">
        <v>0</v>
      </c>
      <c r="S276" s="51">
        <v>0</v>
      </c>
      <c r="T276" s="51"/>
      <c r="U276" s="59"/>
      <c r="V276" s="51"/>
      <c r="W276" s="51"/>
      <c r="X276" s="51"/>
      <c r="Y276" s="51"/>
      <c r="Z276" s="51"/>
      <c r="AA276" s="51"/>
      <c r="AB276" s="51"/>
      <c r="AC276" s="51"/>
      <c r="AD276" s="51"/>
      <c r="AE276" s="51" t="str">
        <f t="shared" si="46"/>
        <v>省版</v>
      </c>
      <c r="AF276" s="51" t="str">
        <f t="shared" si="47"/>
        <v>2025/6/5</v>
      </c>
      <c r="AG276" s="51">
        <f t="shared" si="48"/>
        <v>0</v>
      </c>
      <c r="AH276" s="51">
        <f t="shared" si="49"/>
        <v>0</v>
      </c>
      <c r="AI276" s="51"/>
      <c r="AJ276" s="51"/>
      <c r="AK276" s="51" t="s">
        <v>359</v>
      </c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</row>
    <row r="277" spans="1:63" ht="30" customHeight="1">
      <c r="A277" s="45">
        <v>276</v>
      </c>
      <c r="B277" s="46" t="s">
        <v>58</v>
      </c>
      <c r="C277" s="45">
        <f t="shared" si="45"/>
        <v>2024</v>
      </c>
      <c r="D277" s="47">
        <v>45441</v>
      </c>
      <c r="E277" s="46" t="s">
        <v>459</v>
      </c>
      <c r="F277" s="45" t="s">
        <v>107</v>
      </c>
      <c r="G277" s="45" t="s">
        <v>80</v>
      </c>
      <c r="H277" s="45" t="s">
        <v>107</v>
      </c>
      <c r="I277" s="45"/>
      <c r="J277" s="45"/>
      <c r="K277" s="45" t="s">
        <v>140</v>
      </c>
      <c r="L277" s="45"/>
      <c r="M277" s="45"/>
      <c r="N277" s="45"/>
      <c r="O277" s="45"/>
      <c r="P277" s="45"/>
      <c r="Q277" s="45"/>
      <c r="R277" s="45"/>
      <c r="S277" s="45"/>
      <c r="T277" s="45"/>
      <c r="U277" s="58"/>
      <c r="V277" s="45"/>
      <c r="W277" s="45"/>
      <c r="X277" s="45"/>
      <c r="Y277" s="45"/>
      <c r="Z277" s="45"/>
      <c r="AA277" s="45"/>
      <c r="AB277" s="45"/>
      <c r="AC277" s="45"/>
      <c r="AD277" s="45"/>
      <c r="AE277" s="45" t="e">
        <f t="shared" si="46"/>
        <v>#N/A</v>
      </c>
      <c r="AF277" s="45" t="e">
        <f t="shared" si="47"/>
        <v>#N/A</v>
      </c>
      <c r="AG277" s="45" t="e">
        <f t="shared" si="48"/>
        <v>#N/A</v>
      </c>
      <c r="AH277" s="45" t="e">
        <f t="shared" si="49"/>
        <v>#N/A</v>
      </c>
      <c r="AI277" s="45"/>
      <c r="AJ277" s="45"/>
      <c r="AK277" s="45" t="s">
        <v>143</v>
      </c>
      <c r="AL277" s="45"/>
      <c r="AM277" s="45"/>
      <c r="AN277" s="45"/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45"/>
      <c r="BE277" s="45"/>
      <c r="BF277" s="45"/>
      <c r="BG277" s="45"/>
      <c r="BH277" s="45"/>
      <c r="BI277" s="45"/>
      <c r="BJ277" s="45"/>
      <c r="BK277" s="45"/>
    </row>
    <row r="278" spans="1:63" ht="30" customHeight="1">
      <c r="A278" s="51">
        <v>277</v>
      </c>
      <c r="B278" s="52" t="s">
        <v>110</v>
      </c>
      <c r="C278" s="51">
        <f t="shared" si="45"/>
        <v>2024</v>
      </c>
      <c r="D278" s="53">
        <v>45444</v>
      </c>
      <c r="E278" s="52" t="s">
        <v>265</v>
      </c>
      <c r="F278" s="51" t="s">
        <v>54</v>
      </c>
      <c r="G278" s="51" t="s">
        <v>57</v>
      </c>
      <c r="H278" s="51">
        <v>6</v>
      </c>
      <c r="I278" s="51">
        <v>6</v>
      </c>
      <c r="J278" s="51"/>
      <c r="K278" s="51" t="str">
        <f>IF(H278=I278,"完结",IF(H278&gt;I278,"未完结"))</f>
        <v>完结</v>
      </c>
      <c r="L278" s="51"/>
      <c r="M278" s="51"/>
      <c r="N278" s="51"/>
      <c r="O278" s="51"/>
      <c r="P278" s="51" t="s">
        <v>166</v>
      </c>
      <c r="Q278" s="51" t="s">
        <v>70</v>
      </c>
      <c r="R278" s="51" t="s">
        <v>70</v>
      </c>
      <c r="S278" s="51" t="s">
        <v>43</v>
      </c>
      <c r="T278" s="51"/>
      <c r="U278" s="59"/>
      <c r="V278" s="51"/>
      <c r="W278" s="51"/>
      <c r="X278" s="51"/>
      <c r="Y278" s="51"/>
      <c r="Z278" s="51"/>
      <c r="AA278" s="51"/>
      <c r="AB278" s="51"/>
      <c r="AC278" s="51"/>
      <c r="AD278" s="51"/>
      <c r="AE278" s="51" t="str">
        <f t="shared" si="46"/>
        <v>国版</v>
      </c>
      <c r="AF278" s="51" t="str">
        <f t="shared" si="47"/>
        <v>2025/5/30</v>
      </c>
      <c r="AG278" s="51" t="str">
        <f t="shared" si="48"/>
        <v>2025/5/30</v>
      </c>
      <c r="AH278" s="51" t="str">
        <f t="shared" si="49"/>
        <v>已发证</v>
      </c>
      <c r="AI278" s="51"/>
      <c r="AJ278" s="51"/>
      <c r="AK278" s="51" t="s">
        <v>76</v>
      </c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</row>
    <row r="279" spans="1:63" ht="30" customHeight="1">
      <c r="A279" s="48">
        <v>278</v>
      </c>
      <c r="B279" s="49" t="s">
        <v>110</v>
      </c>
      <c r="C279" s="48">
        <f t="shared" si="45"/>
        <v>2024</v>
      </c>
      <c r="D279" s="50">
        <v>45469</v>
      </c>
      <c r="E279" s="49" t="s">
        <v>460</v>
      </c>
      <c r="F279" s="48" t="s">
        <v>363</v>
      </c>
      <c r="G279" s="48" t="s">
        <v>57</v>
      </c>
      <c r="H279" s="48">
        <v>5</v>
      </c>
      <c r="I279" s="48"/>
      <c r="J279" s="48"/>
      <c r="K279" s="48" t="s">
        <v>461</v>
      </c>
      <c r="L279" s="48"/>
      <c r="M279" s="48"/>
      <c r="N279" s="48"/>
      <c r="O279" s="48"/>
      <c r="P279" s="48"/>
      <c r="Q279" s="48"/>
      <c r="R279" s="48"/>
      <c r="S279" s="48"/>
      <c r="T279" s="48"/>
      <c r="U279" s="59"/>
      <c r="V279" s="48"/>
      <c r="W279" s="48"/>
      <c r="X279" s="48"/>
      <c r="Y279" s="48"/>
      <c r="Z279" s="48"/>
      <c r="AA279" s="48"/>
      <c r="AB279" s="48"/>
      <c r="AC279" s="48"/>
      <c r="AD279" s="48"/>
      <c r="AE279" s="48" t="e">
        <f t="shared" si="46"/>
        <v>#N/A</v>
      </c>
      <c r="AF279" s="48" t="e">
        <f t="shared" si="47"/>
        <v>#N/A</v>
      </c>
      <c r="AG279" s="48" t="e">
        <f t="shared" si="48"/>
        <v>#N/A</v>
      </c>
      <c r="AH279" s="48" t="e">
        <f t="shared" si="49"/>
        <v>#N/A</v>
      </c>
      <c r="AI279" s="48"/>
      <c r="AJ279" s="48"/>
      <c r="AK279" s="48" t="s">
        <v>359</v>
      </c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</row>
    <row r="280" spans="1:63" ht="30" customHeight="1">
      <c r="A280" s="51">
        <v>279</v>
      </c>
      <c r="B280" s="52" t="s">
        <v>110</v>
      </c>
      <c r="C280" s="51">
        <f t="shared" si="45"/>
        <v>2024</v>
      </c>
      <c r="D280" s="53">
        <v>45471</v>
      </c>
      <c r="E280" s="52" t="s">
        <v>462</v>
      </c>
      <c r="F280" s="51" t="s">
        <v>363</v>
      </c>
      <c r="G280" s="51" t="s">
        <v>57</v>
      </c>
      <c r="H280" s="51">
        <v>5</v>
      </c>
      <c r="I280" s="51">
        <v>5</v>
      </c>
      <c r="J280" s="51"/>
      <c r="K280" s="51" t="str">
        <f>IF(H280=I280,"完结",IF(H280&gt;I280,"未完结"))</f>
        <v>完结</v>
      </c>
      <c r="L280" s="51"/>
      <c r="M280" s="51"/>
      <c r="N280" s="51"/>
      <c r="O280" s="51"/>
      <c r="P280" s="51"/>
      <c r="Q280" s="51"/>
      <c r="R280" s="51"/>
      <c r="S280" s="51"/>
      <c r="T280" s="51"/>
      <c r="U280" s="59"/>
      <c r="V280" s="51"/>
      <c r="W280" s="51"/>
      <c r="X280" s="51"/>
      <c r="Y280" s="51"/>
      <c r="Z280" s="51"/>
      <c r="AA280" s="51"/>
      <c r="AB280" s="51"/>
      <c r="AC280" s="51"/>
      <c r="AD280" s="51"/>
      <c r="AE280" s="51" t="e">
        <f t="shared" si="46"/>
        <v>#N/A</v>
      </c>
      <c r="AF280" s="51" t="e">
        <f t="shared" si="47"/>
        <v>#N/A</v>
      </c>
      <c r="AG280" s="51" t="e">
        <f t="shared" si="48"/>
        <v>#N/A</v>
      </c>
      <c r="AH280" s="51" t="e">
        <f t="shared" si="49"/>
        <v>#N/A</v>
      </c>
      <c r="AI280" s="51"/>
      <c r="AJ280" s="51"/>
      <c r="AK280" s="51" t="s">
        <v>359</v>
      </c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</row>
    <row r="281" spans="1:63" ht="30" customHeight="1">
      <c r="A281" s="54">
        <v>280</v>
      </c>
      <c r="B281" s="42" t="s">
        <v>110</v>
      </c>
      <c r="C281" s="54">
        <f t="shared" si="45"/>
        <v>2024</v>
      </c>
      <c r="D281" s="55">
        <v>45473</v>
      </c>
      <c r="E281" s="42" t="s">
        <v>463</v>
      </c>
      <c r="F281" s="54" t="s">
        <v>107</v>
      </c>
      <c r="G281" s="54" t="s">
        <v>80</v>
      </c>
      <c r="H281" s="54" t="s">
        <v>107</v>
      </c>
      <c r="I281" s="54"/>
      <c r="J281" s="54"/>
      <c r="K281" s="54" t="s">
        <v>140</v>
      </c>
      <c r="L281" s="54"/>
      <c r="M281" s="54"/>
      <c r="N281" s="54"/>
      <c r="O281" s="54"/>
      <c r="P281" s="54"/>
      <c r="Q281" s="54"/>
      <c r="R281" s="54"/>
      <c r="S281" s="54"/>
      <c r="T281" s="54"/>
      <c r="U281" s="59"/>
      <c r="V281" s="54"/>
      <c r="W281" s="54"/>
      <c r="X281" s="54"/>
      <c r="Y281" s="54"/>
      <c r="Z281" s="54"/>
      <c r="AA281" s="54"/>
      <c r="AB281" s="54"/>
      <c r="AC281" s="54"/>
      <c r="AD281" s="54"/>
      <c r="AE281" s="54" t="e">
        <f t="shared" si="46"/>
        <v>#N/A</v>
      </c>
      <c r="AF281" s="54" t="e">
        <f t="shared" si="47"/>
        <v>#N/A</v>
      </c>
      <c r="AG281" s="54" t="e">
        <f t="shared" si="48"/>
        <v>#N/A</v>
      </c>
      <c r="AH281" s="54" t="e">
        <f t="shared" si="49"/>
        <v>#N/A</v>
      </c>
      <c r="AI281" s="54"/>
      <c r="AJ281" s="54"/>
      <c r="AK281" s="54" t="s">
        <v>143</v>
      </c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</row>
    <row r="282" spans="1:63" ht="30" customHeight="1">
      <c r="A282" s="51">
        <v>281</v>
      </c>
      <c r="B282" s="52" t="s">
        <v>110</v>
      </c>
      <c r="C282" s="51">
        <f t="shared" si="45"/>
        <v>2024</v>
      </c>
      <c r="D282" s="53">
        <v>45474</v>
      </c>
      <c r="E282" s="52" t="s">
        <v>464</v>
      </c>
      <c r="F282" s="51" t="s">
        <v>48</v>
      </c>
      <c r="G282" s="51" t="s">
        <v>57</v>
      </c>
      <c r="H282" s="51">
        <v>5</v>
      </c>
      <c r="I282" s="51">
        <v>5</v>
      </c>
      <c r="J282" s="51"/>
      <c r="K282" s="51" t="str">
        <f t="shared" ref="K282:K288" si="51">IF(H282=I282,"完结",IF(H282&gt;I282,"未完结"))</f>
        <v>完结</v>
      </c>
      <c r="L282" s="51"/>
      <c r="M282" s="51"/>
      <c r="N282" s="51"/>
      <c r="O282" s="51"/>
      <c r="P282" s="51"/>
      <c r="Q282" s="51"/>
      <c r="R282" s="51"/>
      <c r="S282" s="51"/>
      <c r="T282" s="51"/>
      <c r="U282" s="59"/>
      <c r="V282" s="51"/>
      <c r="W282" s="51"/>
      <c r="X282" s="51"/>
      <c r="Y282" s="51"/>
      <c r="Z282" s="51"/>
      <c r="AA282" s="51"/>
      <c r="AB282" s="51"/>
      <c r="AC282" s="51"/>
      <c r="AD282" s="51"/>
      <c r="AE282" s="51" t="e">
        <f t="shared" si="46"/>
        <v>#N/A</v>
      </c>
      <c r="AF282" s="51" t="e">
        <f t="shared" si="47"/>
        <v>#N/A</v>
      </c>
      <c r="AG282" s="51" t="e">
        <f t="shared" si="48"/>
        <v>#N/A</v>
      </c>
      <c r="AH282" s="51" t="e">
        <f t="shared" si="49"/>
        <v>#N/A</v>
      </c>
      <c r="AI282" s="51"/>
      <c r="AJ282" s="51"/>
      <c r="AK282" s="51" t="s">
        <v>359</v>
      </c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</row>
    <row r="283" spans="1:63" ht="30" customHeight="1">
      <c r="A283" s="45">
        <v>282</v>
      </c>
      <c r="B283" s="46" t="s">
        <v>110</v>
      </c>
      <c r="C283" s="45">
        <f t="shared" si="45"/>
        <v>2024</v>
      </c>
      <c r="D283" s="47">
        <v>45481</v>
      </c>
      <c r="E283" s="46" t="s">
        <v>465</v>
      </c>
      <c r="F283" s="45" t="s">
        <v>363</v>
      </c>
      <c r="G283" s="45" t="s">
        <v>57</v>
      </c>
      <c r="H283" s="45">
        <v>5</v>
      </c>
      <c r="I283" s="45">
        <v>4</v>
      </c>
      <c r="J283" s="45"/>
      <c r="K283" s="45" t="str">
        <f>IF(H283=I283,"完结",IF(H283&gt;I283,"下载中"))</f>
        <v>下载中</v>
      </c>
      <c r="L283" s="45"/>
      <c r="M283" s="45"/>
      <c r="N283" s="45"/>
      <c r="O283" s="45"/>
      <c r="P283" s="45"/>
      <c r="Q283" s="45"/>
      <c r="R283" s="45"/>
      <c r="S283" s="45"/>
      <c r="T283" s="45"/>
      <c r="U283" s="58"/>
      <c r="V283" s="45"/>
      <c r="W283" s="45"/>
      <c r="X283" s="45"/>
      <c r="Y283" s="45"/>
      <c r="Z283" s="45"/>
      <c r="AA283" s="45"/>
      <c r="AB283" s="45"/>
      <c r="AC283" s="45"/>
      <c r="AD283" s="45"/>
      <c r="AE283" s="45" t="e">
        <f t="shared" si="46"/>
        <v>#N/A</v>
      </c>
      <c r="AF283" s="45" t="e">
        <f t="shared" si="47"/>
        <v>#N/A</v>
      </c>
      <c r="AG283" s="45" t="e">
        <f t="shared" si="48"/>
        <v>#N/A</v>
      </c>
      <c r="AH283" s="45" t="e">
        <f t="shared" si="49"/>
        <v>#N/A</v>
      </c>
      <c r="AI283" s="45"/>
      <c r="AJ283" s="45"/>
      <c r="AK283" s="45" t="s">
        <v>359</v>
      </c>
      <c r="AL283" s="45"/>
      <c r="AM283" s="45"/>
      <c r="AN283" s="45"/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45"/>
      <c r="BE283" s="45"/>
      <c r="BF283" s="45"/>
      <c r="BG283" s="45"/>
      <c r="BH283" s="45"/>
      <c r="BI283" s="45"/>
      <c r="BJ283" s="45"/>
      <c r="BK283" s="45"/>
    </row>
    <row r="284" spans="1:63" ht="30" customHeight="1">
      <c r="A284" s="51">
        <v>283</v>
      </c>
      <c r="B284" s="52" t="s">
        <v>82</v>
      </c>
      <c r="C284" s="51">
        <f t="shared" si="45"/>
        <v>2024</v>
      </c>
      <c r="D284" s="53">
        <v>45491</v>
      </c>
      <c r="E284" s="52" t="s">
        <v>466</v>
      </c>
      <c r="F284" s="51" t="s">
        <v>363</v>
      </c>
      <c r="G284" s="51" t="s">
        <v>57</v>
      </c>
      <c r="H284" s="51">
        <v>4</v>
      </c>
      <c r="I284" s="51">
        <v>4</v>
      </c>
      <c r="J284" s="51"/>
      <c r="K284" s="51" t="str">
        <f t="shared" si="51"/>
        <v>完结</v>
      </c>
      <c r="L284" s="51"/>
      <c r="M284" s="51"/>
      <c r="N284" s="51"/>
      <c r="O284" s="51"/>
      <c r="P284" s="51"/>
      <c r="Q284" s="51"/>
      <c r="R284" s="51"/>
      <c r="S284" s="51"/>
      <c r="T284" s="51"/>
      <c r="U284" s="59"/>
      <c r="V284" s="51"/>
      <c r="W284" s="51"/>
      <c r="X284" s="51"/>
      <c r="Y284" s="51"/>
      <c r="Z284" s="51"/>
      <c r="AA284" s="51"/>
      <c r="AB284" s="51"/>
      <c r="AC284" s="51"/>
      <c r="AD284" s="51"/>
      <c r="AE284" s="51" t="e">
        <f t="shared" si="46"/>
        <v>#N/A</v>
      </c>
      <c r="AF284" s="51" t="e">
        <f t="shared" si="47"/>
        <v>#N/A</v>
      </c>
      <c r="AG284" s="51" t="e">
        <f t="shared" si="48"/>
        <v>#N/A</v>
      </c>
      <c r="AH284" s="51" t="e">
        <f t="shared" si="49"/>
        <v>#N/A</v>
      </c>
      <c r="AI284" s="51"/>
      <c r="AJ284" s="51"/>
      <c r="AK284" s="51" t="s">
        <v>224</v>
      </c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</row>
    <row r="285" spans="1:63" ht="30" customHeight="1">
      <c r="A285" s="48">
        <v>284</v>
      </c>
      <c r="B285" s="49" t="s">
        <v>110</v>
      </c>
      <c r="C285" s="48">
        <f t="shared" si="45"/>
        <v>2024</v>
      </c>
      <c r="D285" s="50">
        <v>45503</v>
      </c>
      <c r="E285" s="49" t="s">
        <v>467</v>
      </c>
      <c r="F285" s="48" t="s">
        <v>81</v>
      </c>
      <c r="G285" s="48" t="s">
        <v>57</v>
      </c>
      <c r="H285" s="48">
        <v>6</v>
      </c>
      <c r="I285" s="48">
        <v>6</v>
      </c>
      <c r="J285" s="48"/>
      <c r="K285" s="48" t="str">
        <f t="shared" si="51"/>
        <v>完结</v>
      </c>
      <c r="L285" s="48"/>
      <c r="M285" s="48"/>
      <c r="N285" s="48"/>
      <c r="O285" s="48"/>
      <c r="P285" s="48"/>
      <c r="Q285" s="48"/>
      <c r="R285" s="48"/>
      <c r="S285" s="48"/>
      <c r="T285" s="48"/>
      <c r="U285" s="59"/>
      <c r="V285" s="48"/>
      <c r="W285" s="48"/>
      <c r="X285" s="48"/>
      <c r="Y285" s="48"/>
      <c r="Z285" s="48"/>
      <c r="AA285" s="48"/>
      <c r="AB285" s="48"/>
      <c r="AC285" s="48"/>
      <c r="AD285" s="48"/>
      <c r="AE285" s="48" t="e">
        <f t="shared" si="46"/>
        <v>#N/A</v>
      </c>
      <c r="AF285" s="48" t="e">
        <f t="shared" si="47"/>
        <v>#N/A</v>
      </c>
      <c r="AG285" s="48" t="e">
        <f t="shared" si="48"/>
        <v>#N/A</v>
      </c>
      <c r="AH285" s="48" t="e">
        <f t="shared" si="49"/>
        <v>#N/A</v>
      </c>
      <c r="AI285" s="48"/>
      <c r="AJ285" s="48"/>
      <c r="AK285" s="48" t="s">
        <v>359</v>
      </c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</row>
    <row r="286" spans="1:63" ht="30" customHeight="1">
      <c r="A286" s="51">
        <v>285</v>
      </c>
      <c r="B286" s="52" t="s">
        <v>45</v>
      </c>
      <c r="C286" s="51">
        <f t="shared" si="45"/>
        <v>2024</v>
      </c>
      <c r="D286" s="53">
        <v>45561</v>
      </c>
      <c r="E286" s="52" t="s">
        <v>468</v>
      </c>
      <c r="F286" s="51" t="s">
        <v>363</v>
      </c>
      <c r="G286" s="51" t="s">
        <v>57</v>
      </c>
      <c r="H286" s="51">
        <v>1</v>
      </c>
      <c r="I286" s="51">
        <v>1</v>
      </c>
      <c r="J286" s="51"/>
      <c r="K286" s="51" t="str">
        <f t="shared" si="51"/>
        <v>完结</v>
      </c>
      <c r="L286" s="51"/>
      <c r="M286" s="51"/>
      <c r="N286" s="51"/>
      <c r="O286" s="51"/>
      <c r="P286" s="51"/>
      <c r="Q286" s="51"/>
      <c r="R286" s="51"/>
      <c r="S286" s="51"/>
      <c r="T286" s="51"/>
      <c r="U286" s="59"/>
      <c r="V286" s="51"/>
      <c r="W286" s="51"/>
      <c r="X286" s="51"/>
      <c r="Y286" s="51"/>
      <c r="Z286" s="51"/>
      <c r="AA286" s="51"/>
      <c r="AB286" s="51"/>
      <c r="AC286" s="51"/>
      <c r="AD286" s="51"/>
      <c r="AE286" s="51" t="e">
        <f t="shared" si="46"/>
        <v>#N/A</v>
      </c>
      <c r="AF286" s="51" t="e">
        <f t="shared" si="47"/>
        <v>#N/A</v>
      </c>
      <c r="AG286" s="51" t="e">
        <f t="shared" si="48"/>
        <v>#N/A</v>
      </c>
      <c r="AH286" s="51" t="e">
        <f t="shared" si="49"/>
        <v>#N/A</v>
      </c>
      <c r="AI286" s="51"/>
      <c r="AJ286" s="51"/>
      <c r="AK286" s="51" t="s">
        <v>52</v>
      </c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</row>
    <row r="287" spans="1:63" ht="30" customHeight="1">
      <c r="A287" s="54">
        <v>286</v>
      </c>
      <c r="B287" s="42" t="s">
        <v>45</v>
      </c>
      <c r="C287" s="54">
        <f t="shared" si="45"/>
        <v>2024</v>
      </c>
      <c r="D287" s="55">
        <v>45608</v>
      </c>
      <c r="E287" s="42" t="s">
        <v>469</v>
      </c>
      <c r="F287" s="54" t="s">
        <v>54</v>
      </c>
      <c r="G287" s="54" t="s">
        <v>57</v>
      </c>
      <c r="H287" s="54">
        <v>16</v>
      </c>
      <c r="I287" s="54">
        <v>16</v>
      </c>
      <c r="J287" s="54"/>
      <c r="K287" s="54" t="str">
        <f t="shared" si="51"/>
        <v>完结</v>
      </c>
      <c r="L287" s="54"/>
      <c r="M287" s="54"/>
      <c r="N287" s="54"/>
      <c r="O287" s="54"/>
      <c r="P287" s="54"/>
      <c r="Q287" s="54"/>
      <c r="R287" s="54"/>
      <c r="S287" s="54"/>
      <c r="T287" s="54" t="s">
        <v>363</v>
      </c>
      <c r="U287" s="59"/>
      <c r="V287" s="54"/>
      <c r="W287" s="54"/>
      <c r="X287" s="54"/>
      <c r="Y287" s="54"/>
      <c r="Z287" s="54"/>
      <c r="AA287" s="54"/>
      <c r="AB287" s="54"/>
      <c r="AC287" s="54"/>
      <c r="AD287" s="54"/>
      <c r="AE287" s="54" t="e">
        <f t="shared" si="46"/>
        <v>#N/A</v>
      </c>
      <c r="AF287" s="54" t="e">
        <f t="shared" si="47"/>
        <v>#N/A</v>
      </c>
      <c r="AG287" s="54" t="e">
        <f t="shared" si="48"/>
        <v>#N/A</v>
      </c>
      <c r="AH287" s="54" t="e">
        <f t="shared" si="49"/>
        <v>#N/A</v>
      </c>
      <c r="AI287" s="54"/>
      <c r="AJ287" s="54"/>
      <c r="AK287" s="54" t="s">
        <v>52</v>
      </c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  <c r="AX287" s="54"/>
      <c r="AY287" s="54"/>
      <c r="AZ287" s="54"/>
      <c r="BA287" s="54"/>
      <c r="BB287" s="54"/>
      <c r="BC287" s="54"/>
      <c r="BD287" s="54"/>
      <c r="BE287" s="54"/>
      <c r="BF287" s="54"/>
      <c r="BG287" s="54"/>
      <c r="BH287" s="54"/>
      <c r="BI287" s="54"/>
      <c r="BJ287" s="54"/>
      <c r="BK287" s="54"/>
    </row>
    <row r="288" spans="1:63" ht="30" customHeight="1">
      <c r="A288" s="51">
        <v>287</v>
      </c>
      <c r="B288" s="52" t="s">
        <v>45</v>
      </c>
      <c r="C288" s="51">
        <f t="shared" si="45"/>
        <v>2024</v>
      </c>
      <c r="D288" s="53">
        <v>45609</v>
      </c>
      <c r="E288" s="52" t="s">
        <v>470</v>
      </c>
      <c r="F288" s="51" t="s">
        <v>107</v>
      </c>
      <c r="G288" s="51" t="s">
        <v>80</v>
      </c>
      <c r="H288" s="51" t="s">
        <v>129</v>
      </c>
      <c r="I288" s="51" t="s">
        <v>129</v>
      </c>
      <c r="J288" s="51"/>
      <c r="K288" s="51" t="str">
        <f t="shared" si="51"/>
        <v>完结</v>
      </c>
      <c r="L288" s="51"/>
      <c r="M288" s="51"/>
      <c r="N288" s="51"/>
      <c r="O288" s="51"/>
      <c r="P288" s="51"/>
      <c r="Q288" s="51"/>
      <c r="R288" s="51"/>
      <c r="S288" s="51"/>
      <c r="T288" s="51"/>
      <c r="U288" s="59"/>
      <c r="V288" s="51"/>
      <c r="W288" s="51"/>
      <c r="X288" s="51"/>
      <c r="Y288" s="51"/>
      <c r="Z288" s="51"/>
      <c r="AA288" s="51"/>
      <c r="AB288" s="51"/>
      <c r="AC288" s="51"/>
      <c r="AD288" s="51"/>
      <c r="AE288" s="51" t="e">
        <f t="shared" si="46"/>
        <v>#N/A</v>
      </c>
      <c r="AF288" s="51" t="e">
        <f t="shared" si="47"/>
        <v>#N/A</v>
      </c>
      <c r="AG288" s="51" t="e">
        <f t="shared" si="48"/>
        <v>#N/A</v>
      </c>
      <c r="AH288" s="51" t="e">
        <f t="shared" si="49"/>
        <v>#N/A</v>
      </c>
      <c r="AI288" s="51"/>
      <c r="AJ288" s="51"/>
      <c r="AK288" s="51" t="s">
        <v>52</v>
      </c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</row>
    <row r="289" spans="1:63" ht="30" customHeight="1">
      <c r="A289" s="45">
        <v>288</v>
      </c>
      <c r="B289" s="46" t="s">
        <v>45</v>
      </c>
      <c r="C289" s="45">
        <f t="shared" si="45"/>
        <v>2024</v>
      </c>
      <c r="D289" s="47">
        <v>45610</v>
      </c>
      <c r="E289" s="46" t="s">
        <v>471</v>
      </c>
      <c r="F289" s="45" t="s">
        <v>107</v>
      </c>
      <c r="G289" s="45" t="s">
        <v>80</v>
      </c>
      <c r="H289" s="45" t="s">
        <v>107</v>
      </c>
      <c r="I289" s="45" t="s">
        <v>107</v>
      </c>
      <c r="J289" s="45"/>
      <c r="K289" s="45" t="s">
        <v>140</v>
      </c>
      <c r="L289" s="45"/>
      <c r="M289" s="45"/>
      <c r="N289" s="45"/>
      <c r="O289" s="45"/>
      <c r="P289" s="45"/>
      <c r="Q289" s="45"/>
      <c r="R289" s="45"/>
      <c r="S289" s="45"/>
      <c r="T289" s="45"/>
      <c r="U289" s="58"/>
      <c r="V289" s="45"/>
      <c r="W289" s="45"/>
      <c r="X289" s="45"/>
      <c r="Y289" s="45"/>
      <c r="Z289" s="45"/>
      <c r="AA289" s="45"/>
      <c r="AB289" s="45"/>
      <c r="AC289" s="45"/>
      <c r="AD289" s="45"/>
      <c r="AE289" s="45" t="e">
        <f t="shared" si="46"/>
        <v>#N/A</v>
      </c>
      <c r="AF289" s="45" t="e">
        <f t="shared" si="47"/>
        <v>#N/A</v>
      </c>
      <c r="AG289" s="45" t="e">
        <f t="shared" si="48"/>
        <v>#N/A</v>
      </c>
      <c r="AH289" s="45" t="e">
        <f t="shared" si="49"/>
        <v>#N/A</v>
      </c>
      <c r="AI289" s="45"/>
      <c r="AJ289" s="45"/>
      <c r="AK289" s="45" t="s">
        <v>143</v>
      </c>
      <c r="AL289" s="45"/>
      <c r="AM289" s="45"/>
      <c r="AN289" s="45"/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45"/>
      <c r="BE289" s="45"/>
      <c r="BF289" s="45"/>
      <c r="BG289" s="45"/>
      <c r="BH289" s="45"/>
      <c r="BI289" s="45"/>
      <c r="BJ289" s="45"/>
      <c r="BK289" s="45"/>
    </row>
    <row r="290" spans="1:63" ht="30" customHeight="1">
      <c r="A290" s="51">
        <v>289</v>
      </c>
      <c r="B290" s="52" t="s">
        <v>45</v>
      </c>
      <c r="C290" s="51">
        <f t="shared" si="45"/>
        <v>2024</v>
      </c>
      <c r="D290" s="53">
        <v>45632</v>
      </c>
      <c r="E290" s="52" t="s">
        <v>472</v>
      </c>
      <c r="F290" s="51" t="s">
        <v>54</v>
      </c>
      <c r="G290" s="51" t="s">
        <v>57</v>
      </c>
      <c r="H290" s="51">
        <v>6</v>
      </c>
      <c r="I290" s="51">
        <v>6</v>
      </c>
      <c r="J290" s="51"/>
      <c r="K290" s="51" t="str">
        <f>IF(H290=I290,"完结",IF(H290&gt;I290,"未完结"))</f>
        <v>完结</v>
      </c>
      <c r="L290" s="51"/>
      <c r="M290" s="51"/>
      <c r="N290" s="51"/>
      <c r="O290" s="51"/>
      <c r="P290" s="51"/>
      <c r="Q290" s="51"/>
      <c r="R290" s="51"/>
      <c r="S290" s="51"/>
      <c r="T290" s="51"/>
      <c r="U290" s="59"/>
      <c r="V290" s="51"/>
      <c r="W290" s="51"/>
      <c r="X290" s="51"/>
      <c r="Y290" s="51"/>
      <c r="Z290" s="51"/>
      <c r="AA290" s="51"/>
      <c r="AB290" s="51"/>
      <c r="AC290" s="51"/>
      <c r="AD290" s="51"/>
      <c r="AE290" s="51" t="e">
        <f t="shared" si="46"/>
        <v>#N/A</v>
      </c>
      <c r="AF290" s="51" t="e">
        <f t="shared" si="47"/>
        <v>#N/A</v>
      </c>
      <c r="AG290" s="51" t="e">
        <f t="shared" si="48"/>
        <v>#N/A</v>
      </c>
      <c r="AH290" s="51" t="e">
        <f t="shared" si="49"/>
        <v>#N/A</v>
      </c>
      <c r="AI290" s="51"/>
      <c r="AJ290" s="51"/>
      <c r="AK290" s="51" t="s">
        <v>52</v>
      </c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</row>
    <row r="291" spans="1:63" ht="30" customHeight="1">
      <c r="A291" s="48">
        <v>290</v>
      </c>
      <c r="B291" s="49" t="s">
        <v>45</v>
      </c>
      <c r="C291" s="48">
        <f t="shared" si="45"/>
        <v>2024</v>
      </c>
      <c r="D291" s="50">
        <v>45633</v>
      </c>
      <c r="E291" s="49" t="s">
        <v>473</v>
      </c>
      <c r="F291" s="48" t="s">
        <v>107</v>
      </c>
      <c r="G291" s="48" t="s">
        <v>80</v>
      </c>
      <c r="H291" s="48" t="s">
        <v>107</v>
      </c>
      <c r="I291" s="48"/>
      <c r="J291" s="48"/>
      <c r="K291" s="48" t="s">
        <v>140</v>
      </c>
      <c r="L291" s="48"/>
      <c r="M291" s="48"/>
      <c r="N291" s="48"/>
      <c r="O291" s="48"/>
      <c r="P291" s="48"/>
      <c r="Q291" s="48"/>
      <c r="R291" s="48"/>
      <c r="S291" s="48"/>
      <c r="T291" s="48"/>
      <c r="U291" s="59"/>
      <c r="V291" s="48"/>
      <c r="W291" s="48"/>
      <c r="X291" s="48"/>
      <c r="Y291" s="48"/>
      <c r="Z291" s="48"/>
      <c r="AA291" s="48"/>
      <c r="AB291" s="48"/>
      <c r="AC291" s="48"/>
      <c r="AD291" s="48"/>
      <c r="AE291" s="48" t="e">
        <f t="shared" si="46"/>
        <v>#N/A</v>
      </c>
      <c r="AF291" s="48" t="e">
        <f t="shared" si="47"/>
        <v>#N/A</v>
      </c>
      <c r="AG291" s="48" t="e">
        <f t="shared" si="48"/>
        <v>#N/A</v>
      </c>
      <c r="AH291" s="48" t="e">
        <f t="shared" si="49"/>
        <v>#N/A</v>
      </c>
      <c r="AI291" s="48"/>
      <c r="AJ291" s="48"/>
      <c r="AK291" s="48" t="s">
        <v>143</v>
      </c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</row>
    <row r="292" spans="1:63" ht="30" customHeight="1">
      <c r="A292" s="51">
        <v>291</v>
      </c>
      <c r="B292" s="52" t="s">
        <v>45</v>
      </c>
      <c r="C292" s="51">
        <f t="shared" si="45"/>
        <v>2024</v>
      </c>
      <c r="D292" s="53">
        <v>45639</v>
      </c>
      <c r="E292" s="52" t="s">
        <v>474</v>
      </c>
      <c r="F292" s="51" t="s">
        <v>37</v>
      </c>
      <c r="G292" s="51" t="s">
        <v>80</v>
      </c>
      <c r="H292" s="51" t="s">
        <v>107</v>
      </c>
      <c r="I292" s="51"/>
      <c r="J292" s="51"/>
      <c r="K292" s="51" t="s">
        <v>140</v>
      </c>
      <c r="L292" s="51"/>
      <c r="M292" s="51"/>
      <c r="N292" s="51"/>
      <c r="O292" s="51"/>
      <c r="P292" s="51"/>
      <c r="Q292" s="51"/>
      <c r="R292" s="51"/>
      <c r="S292" s="51"/>
      <c r="T292" s="51"/>
      <c r="U292" s="59"/>
      <c r="V292" s="51"/>
      <c r="W292" s="51"/>
      <c r="X292" s="51"/>
      <c r="Y292" s="51"/>
      <c r="Z292" s="51"/>
      <c r="AA292" s="51"/>
      <c r="AB292" s="51"/>
      <c r="AC292" s="51"/>
      <c r="AD292" s="51"/>
      <c r="AE292" s="51" t="e">
        <f t="shared" si="46"/>
        <v>#N/A</v>
      </c>
      <c r="AF292" s="51" t="e">
        <f t="shared" si="47"/>
        <v>#N/A</v>
      </c>
      <c r="AG292" s="51" t="e">
        <f t="shared" si="48"/>
        <v>#N/A</v>
      </c>
      <c r="AH292" s="51" t="e">
        <f t="shared" si="49"/>
        <v>#N/A</v>
      </c>
      <c r="AI292" s="51"/>
      <c r="AJ292" s="51"/>
      <c r="AK292" s="51" t="s">
        <v>143</v>
      </c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</row>
    <row r="293" spans="1:63" ht="30" customHeight="1">
      <c r="A293" s="54">
        <v>292</v>
      </c>
      <c r="B293" s="42" t="s">
        <v>58</v>
      </c>
      <c r="C293" s="54">
        <f t="shared" si="45"/>
        <v>2024</v>
      </c>
      <c r="D293" s="55">
        <v>45649</v>
      </c>
      <c r="E293" s="42" t="s">
        <v>269</v>
      </c>
      <c r="F293" s="54" t="s">
        <v>37</v>
      </c>
      <c r="G293" s="54" t="s">
        <v>57</v>
      </c>
      <c r="H293" s="54">
        <v>5</v>
      </c>
      <c r="I293" s="54">
        <v>5</v>
      </c>
      <c r="J293" s="54"/>
      <c r="K293" s="54" t="str">
        <f>IF(H293=I293,"完结",IF(H293&gt;I293,"未完结"))</f>
        <v>完结</v>
      </c>
      <c r="L293" s="54"/>
      <c r="M293" s="54"/>
      <c r="N293" s="54"/>
      <c r="O293" s="54"/>
      <c r="P293" s="54" t="s">
        <v>166</v>
      </c>
      <c r="Q293" s="54" t="s">
        <v>270</v>
      </c>
      <c r="R293" s="54" t="s">
        <v>271</v>
      </c>
      <c r="S293" s="54" t="s">
        <v>43</v>
      </c>
      <c r="T293" s="54"/>
      <c r="U293" s="59"/>
      <c r="V293" s="54"/>
      <c r="W293" s="54"/>
      <c r="X293" s="54"/>
      <c r="Y293" s="54"/>
      <c r="Z293" s="54"/>
      <c r="AA293" s="54"/>
      <c r="AB293" s="54"/>
      <c r="AC293" s="54"/>
      <c r="AD293" s="54"/>
      <c r="AE293" s="54" t="str">
        <f t="shared" si="46"/>
        <v>国版</v>
      </c>
      <c r="AF293" s="54" t="str">
        <f t="shared" si="47"/>
        <v>2025/5/6</v>
      </c>
      <c r="AG293" s="54" t="str">
        <f t="shared" si="48"/>
        <v>2025/5/7</v>
      </c>
      <c r="AH293" s="54" t="str">
        <f t="shared" si="49"/>
        <v>已发证</v>
      </c>
      <c r="AI293" s="54"/>
      <c r="AJ293" s="54"/>
      <c r="AK293" s="54" t="s">
        <v>76</v>
      </c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  <c r="AX293" s="54"/>
      <c r="AY293" s="54"/>
      <c r="AZ293" s="54"/>
      <c r="BA293" s="54"/>
      <c r="BB293" s="54"/>
      <c r="BC293" s="54"/>
      <c r="BD293" s="54"/>
      <c r="BE293" s="54"/>
      <c r="BF293" s="54"/>
      <c r="BG293" s="54"/>
      <c r="BH293" s="54"/>
      <c r="BI293" s="54"/>
      <c r="BJ293" s="54"/>
      <c r="BK293" s="54"/>
    </row>
    <row r="294" spans="1:63" ht="30" customHeight="1">
      <c r="A294" s="51">
        <v>293</v>
      </c>
      <c r="B294" s="52" t="s">
        <v>64</v>
      </c>
      <c r="C294" s="51">
        <f t="shared" si="45"/>
        <v>2024</v>
      </c>
      <c r="D294" s="53">
        <v>45654</v>
      </c>
      <c r="E294" s="52" t="s">
        <v>475</v>
      </c>
      <c r="F294" s="51" t="s">
        <v>37</v>
      </c>
      <c r="G294" s="51" t="s">
        <v>80</v>
      </c>
      <c r="H294" s="51" t="s">
        <v>107</v>
      </c>
      <c r="I294" s="51"/>
      <c r="J294" s="51"/>
      <c r="K294" s="51" t="s">
        <v>140</v>
      </c>
      <c r="L294" s="51"/>
      <c r="M294" s="51"/>
      <c r="N294" s="51"/>
      <c r="O294" s="51"/>
      <c r="P294" s="51"/>
      <c r="Q294" s="51"/>
      <c r="R294" s="51"/>
      <c r="S294" s="51"/>
      <c r="T294" s="51"/>
      <c r="U294" s="59"/>
      <c r="V294" s="51"/>
      <c r="W294" s="51"/>
      <c r="X294" s="51"/>
      <c r="Y294" s="51"/>
      <c r="Z294" s="51"/>
      <c r="AA294" s="51"/>
      <c r="AB294" s="51"/>
      <c r="AC294" s="51"/>
      <c r="AD294" s="51"/>
      <c r="AE294" s="51" t="e">
        <f t="shared" si="46"/>
        <v>#N/A</v>
      </c>
      <c r="AF294" s="51" t="e">
        <f t="shared" si="47"/>
        <v>#N/A</v>
      </c>
      <c r="AG294" s="51" t="e">
        <f t="shared" si="48"/>
        <v>#N/A</v>
      </c>
      <c r="AH294" s="51" t="e">
        <f t="shared" si="49"/>
        <v>#N/A</v>
      </c>
      <c r="AI294" s="51"/>
      <c r="AJ294" s="51"/>
      <c r="AK294" s="51" t="s">
        <v>143</v>
      </c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</row>
    <row r="295" spans="1:63" ht="30" customHeight="1">
      <c r="A295" s="45">
        <v>294</v>
      </c>
      <c r="B295" s="46" t="s">
        <v>64</v>
      </c>
      <c r="C295" s="45">
        <f t="shared" si="45"/>
        <v>2024</v>
      </c>
      <c r="D295" s="47">
        <v>45657</v>
      </c>
      <c r="E295" s="46" t="s">
        <v>263</v>
      </c>
      <c r="F295" s="45" t="s">
        <v>37</v>
      </c>
      <c r="G295" s="45" t="s">
        <v>57</v>
      </c>
      <c r="H295" s="45">
        <v>8</v>
      </c>
      <c r="I295" s="45">
        <v>8</v>
      </c>
      <c r="J295" s="45"/>
      <c r="K295" s="45" t="str">
        <f>IF(H295=I295,"完结",IF(H295&gt;I295,"未完结"))</f>
        <v>完结</v>
      </c>
      <c r="L295" s="45"/>
      <c r="M295" s="45"/>
      <c r="N295" s="45"/>
      <c r="O295" s="45"/>
      <c r="P295" s="45" t="s">
        <v>166</v>
      </c>
      <c r="Q295" s="45" t="s">
        <v>172</v>
      </c>
      <c r="R295" s="45" t="s">
        <v>173</v>
      </c>
      <c r="S295" s="45" t="s">
        <v>43</v>
      </c>
      <c r="T295" s="45"/>
      <c r="U295" s="58"/>
      <c r="V295" s="45"/>
      <c r="W295" s="45"/>
      <c r="X295" s="45"/>
      <c r="Y295" s="45"/>
      <c r="Z295" s="45"/>
      <c r="AA295" s="45"/>
      <c r="AB295" s="45"/>
      <c r="AC295" s="45"/>
      <c r="AD295" s="45"/>
      <c r="AE295" s="45" t="str">
        <f t="shared" si="46"/>
        <v>国版</v>
      </c>
      <c r="AF295" s="45" t="str">
        <f t="shared" si="47"/>
        <v>2025/5/27</v>
      </c>
      <c r="AG295" s="45" t="str">
        <f t="shared" si="48"/>
        <v>2025/5/28</v>
      </c>
      <c r="AH295" s="45" t="str">
        <f t="shared" si="49"/>
        <v>已发证</v>
      </c>
      <c r="AI295" s="45"/>
      <c r="AJ295" s="45"/>
      <c r="AK295" s="45" t="s">
        <v>76</v>
      </c>
      <c r="AL295" s="45"/>
      <c r="AM295" s="45"/>
      <c r="AN295" s="45"/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45"/>
      <c r="BE295" s="45"/>
      <c r="BF295" s="45"/>
      <c r="BG295" s="45"/>
      <c r="BH295" s="45"/>
      <c r="BI295" s="45"/>
      <c r="BJ295" s="45"/>
      <c r="BK295" s="45"/>
    </row>
    <row r="296" spans="1:63" ht="30" customHeight="1">
      <c r="A296" s="51">
        <v>295</v>
      </c>
      <c r="B296" s="52" t="s">
        <v>82</v>
      </c>
      <c r="C296" s="51">
        <f t="shared" si="45"/>
        <v>2025</v>
      </c>
      <c r="D296" s="53">
        <v>45658</v>
      </c>
      <c r="E296" s="52" t="s">
        <v>221</v>
      </c>
      <c r="F296" s="51" t="s">
        <v>37</v>
      </c>
      <c r="G296" s="51" t="s">
        <v>160</v>
      </c>
      <c r="H296" s="51">
        <v>3</v>
      </c>
      <c r="I296" s="51">
        <v>3</v>
      </c>
      <c r="J296" s="51"/>
      <c r="K296" s="51" t="str">
        <f>IF(H296=I296,"完结",IF(H296&gt;I296,"未完结"))</f>
        <v>完结</v>
      </c>
      <c r="L296" s="51"/>
      <c r="M296" s="51"/>
      <c r="N296" s="51"/>
      <c r="O296" s="51"/>
      <c r="P296" s="51" t="s">
        <v>40</v>
      </c>
      <c r="Q296" s="51" t="s">
        <v>70</v>
      </c>
      <c r="R296" s="51" t="s">
        <v>70</v>
      </c>
      <c r="S296" s="51" t="s">
        <v>43</v>
      </c>
      <c r="T296" s="51"/>
      <c r="U296" s="59"/>
      <c r="V296" s="51"/>
      <c r="W296" s="51"/>
      <c r="X296" s="51"/>
      <c r="Y296" s="51"/>
      <c r="Z296" s="51"/>
      <c r="AA296" s="51"/>
      <c r="AB296" s="51"/>
      <c r="AC296" s="51"/>
      <c r="AD296" s="51"/>
      <c r="AE296" s="51" t="str">
        <f t="shared" si="46"/>
        <v>省版</v>
      </c>
      <c r="AF296" s="51" t="str">
        <f t="shared" si="47"/>
        <v>2025/5/30</v>
      </c>
      <c r="AG296" s="51" t="str">
        <f t="shared" si="48"/>
        <v>2025/5/30</v>
      </c>
      <c r="AH296" s="51" t="str">
        <f t="shared" si="49"/>
        <v>已发证</v>
      </c>
      <c r="AI296" s="51"/>
      <c r="AJ296" s="51"/>
      <c r="AK296" s="51" t="s">
        <v>224</v>
      </c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</row>
    <row r="297" spans="1:63" ht="30" customHeight="1">
      <c r="A297" s="48">
        <v>296</v>
      </c>
      <c r="B297" s="49" t="s">
        <v>58</v>
      </c>
      <c r="C297" s="48">
        <f t="shared" si="45"/>
        <v>2025</v>
      </c>
      <c r="D297" s="50">
        <v>45659</v>
      </c>
      <c r="E297" s="49" t="s">
        <v>476</v>
      </c>
      <c r="F297" s="48" t="s">
        <v>37</v>
      </c>
      <c r="G297" s="48" t="s">
        <v>160</v>
      </c>
      <c r="H297" s="48" t="s">
        <v>129</v>
      </c>
      <c r="I297" s="48">
        <v>1</v>
      </c>
      <c r="J297" s="48"/>
      <c r="K297" s="48" t="str">
        <f>IF(H297=I297,"完结",IF(H297&gt;I297,"下载中"))</f>
        <v>下载中</v>
      </c>
      <c r="L297" s="48"/>
      <c r="M297" s="48"/>
      <c r="N297" s="48"/>
      <c r="O297" s="48"/>
      <c r="P297" s="48"/>
      <c r="Q297" s="48"/>
      <c r="R297" s="48"/>
      <c r="S297" s="48"/>
      <c r="T297" s="48"/>
      <c r="U297" s="59"/>
      <c r="V297" s="48"/>
      <c r="W297" s="48"/>
      <c r="X297" s="48"/>
      <c r="Y297" s="48"/>
      <c r="Z297" s="48"/>
      <c r="AA297" s="48"/>
      <c r="AB297" s="48"/>
      <c r="AC297" s="48"/>
      <c r="AD297" s="48"/>
      <c r="AE297" s="48" t="e">
        <f t="shared" si="46"/>
        <v>#N/A</v>
      </c>
      <c r="AF297" s="48" t="e">
        <f t="shared" si="47"/>
        <v>#N/A</v>
      </c>
      <c r="AG297" s="48" t="e">
        <f t="shared" si="48"/>
        <v>#N/A</v>
      </c>
      <c r="AH297" s="48" t="e">
        <f t="shared" si="49"/>
        <v>#N/A</v>
      </c>
      <c r="AI297" s="48"/>
      <c r="AJ297" s="48"/>
      <c r="AK297" s="48" t="s">
        <v>113</v>
      </c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</row>
    <row r="298" spans="1:63" ht="30" customHeight="1">
      <c r="A298" s="51">
        <v>297</v>
      </c>
      <c r="B298" s="52" t="s">
        <v>64</v>
      </c>
      <c r="C298" s="51">
        <f t="shared" si="45"/>
        <v>2025</v>
      </c>
      <c r="D298" s="53">
        <v>45667</v>
      </c>
      <c r="E298" s="52" t="s">
        <v>477</v>
      </c>
      <c r="F298" s="51" t="s">
        <v>37</v>
      </c>
      <c r="G298" s="51" t="s">
        <v>57</v>
      </c>
      <c r="H298" s="51">
        <v>6</v>
      </c>
      <c r="I298" s="51">
        <v>3</v>
      </c>
      <c r="J298" s="51"/>
      <c r="K298" s="51" t="str">
        <f>IF(H298=I298,"完结",IF(H298&gt;I298,"下载中"))</f>
        <v>下载中</v>
      </c>
      <c r="L298" s="51"/>
      <c r="M298" s="51"/>
      <c r="N298" s="51"/>
      <c r="O298" s="51"/>
      <c r="P298" s="51"/>
      <c r="Q298" s="51"/>
      <c r="R298" s="51"/>
      <c r="S298" s="51"/>
      <c r="T298" s="51"/>
      <c r="U298" s="59"/>
      <c r="V298" s="51"/>
      <c r="W298" s="51"/>
      <c r="X298" s="51"/>
      <c r="Y298" s="51"/>
      <c r="Z298" s="51"/>
      <c r="AA298" s="51"/>
      <c r="AB298" s="51"/>
      <c r="AC298" s="51"/>
      <c r="AD298" s="51"/>
      <c r="AE298" s="51" t="e">
        <f t="shared" si="46"/>
        <v>#N/A</v>
      </c>
      <c r="AF298" s="51" t="e">
        <f t="shared" si="47"/>
        <v>#N/A</v>
      </c>
      <c r="AG298" s="51" t="e">
        <f t="shared" si="48"/>
        <v>#N/A</v>
      </c>
      <c r="AH298" s="51" t="e">
        <f t="shared" si="49"/>
        <v>#N/A</v>
      </c>
      <c r="AI298" s="51"/>
      <c r="AJ298" s="51"/>
      <c r="AK298" s="51" t="s">
        <v>76</v>
      </c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</row>
    <row r="299" spans="1:63" ht="30" customHeight="1">
      <c r="A299" s="54">
        <v>298</v>
      </c>
      <c r="B299" s="42" t="s">
        <v>64</v>
      </c>
      <c r="C299" s="54">
        <f t="shared" si="45"/>
        <v>2025</v>
      </c>
      <c r="D299" s="55">
        <v>45671</v>
      </c>
      <c r="E299" s="42" t="s">
        <v>261</v>
      </c>
      <c r="F299" s="54" t="s">
        <v>37</v>
      </c>
      <c r="G299" s="54" t="s">
        <v>57</v>
      </c>
      <c r="H299" s="54">
        <v>5</v>
      </c>
      <c r="I299" s="54">
        <v>5</v>
      </c>
      <c r="J299" s="54"/>
      <c r="K299" s="54" t="str">
        <f>IF(H299=I299,"完结",IF(H299&gt;I299,"未完结"))</f>
        <v>完结</v>
      </c>
      <c r="L299" s="54"/>
      <c r="M299" s="54"/>
      <c r="N299" s="54"/>
      <c r="O299" s="54"/>
      <c r="P299" s="54" t="s">
        <v>166</v>
      </c>
      <c r="Q299" s="54" t="s">
        <v>172</v>
      </c>
      <c r="R299" s="54" t="s">
        <v>173</v>
      </c>
      <c r="S299" s="54" t="s">
        <v>43</v>
      </c>
      <c r="T299" s="54"/>
      <c r="U299" s="59"/>
      <c r="V299" s="54"/>
      <c r="W299" s="54"/>
      <c r="X299" s="54"/>
      <c r="Y299" s="54"/>
      <c r="Z299" s="54"/>
      <c r="AA299" s="54"/>
      <c r="AB299" s="54"/>
      <c r="AC299" s="54"/>
      <c r="AD299" s="54"/>
      <c r="AE299" s="54" t="str">
        <f t="shared" si="46"/>
        <v>国版</v>
      </c>
      <c r="AF299" s="54" t="str">
        <f t="shared" si="47"/>
        <v>2025/5/27</v>
      </c>
      <c r="AG299" s="54" t="str">
        <f t="shared" si="48"/>
        <v>2025/5/28</v>
      </c>
      <c r="AH299" s="54" t="str">
        <f t="shared" si="49"/>
        <v>已发证</v>
      </c>
      <c r="AI299" s="54"/>
      <c r="AJ299" s="54"/>
      <c r="AK299" s="54" t="s">
        <v>76</v>
      </c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  <c r="AX299" s="54"/>
      <c r="AY299" s="54"/>
      <c r="AZ299" s="54"/>
      <c r="BA299" s="54"/>
      <c r="BB299" s="54"/>
      <c r="BC299" s="54"/>
      <c r="BD299" s="54"/>
      <c r="BE299" s="54"/>
      <c r="BF299" s="54"/>
      <c r="BG299" s="54"/>
      <c r="BH299" s="54"/>
      <c r="BI299" s="54"/>
      <c r="BJ299" s="54"/>
      <c r="BK299" s="54"/>
    </row>
    <row r="300" spans="1:63" ht="30" customHeight="1">
      <c r="A300" s="51">
        <v>299</v>
      </c>
      <c r="B300" s="52" t="s">
        <v>58</v>
      </c>
      <c r="C300" s="51">
        <f t="shared" si="45"/>
        <v>2025</v>
      </c>
      <c r="D300" s="53">
        <v>45676</v>
      </c>
      <c r="E300" s="52" t="s">
        <v>478</v>
      </c>
      <c r="F300" s="51" t="s">
        <v>107</v>
      </c>
      <c r="G300" s="51" t="s">
        <v>63</v>
      </c>
      <c r="H300" s="51" t="s">
        <v>107</v>
      </c>
      <c r="I300" s="51"/>
      <c r="J300" s="51"/>
      <c r="K300" s="51" t="s">
        <v>140</v>
      </c>
      <c r="L300" s="51"/>
      <c r="M300" s="51"/>
      <c r="N300" s="51"/>
      <c r="O300" s="51"/>
      <c r="P300" s="51"/>
      <c r="Q300" s="51"/>
      <c r="R300" s="51"/>
      <c r="S300" s="51"/>
      <c r="T300" s="51"/>
      <c r="U300" s="59"/>
      <c r="V300" s="51"/>
      <c r="W300" s="51"/>
      <c r="X300" s="51"/>
      <c r="Y300" s="51"/>
      <c r="Z300" s="51"/>
      <c r="AA300" s="51"/>
      <c r="AB300" s="51"/>
      <c r="AC300" s="51"/>
      <c r="AD300" s="51"/>
      <c r="AE300" s="51" t="e">
        <f t="shared" si="46"/>
        <v>#N/A</v>
      </c>
      <c r="AF300" s="51" t="e">
        <f t="shared" si="47"/>
        <v>#N/A</v>
      </c>
      <c r="AG300" s="51" t="e">
        <f t="shared" si="48"/>
        <v>#N/A</v>
      </c>
      <c r="AH300" s="51" t="e">
        <f t="shared" si="49"/>
        <v>#N/A</v>
      </c>
      <c r="AI300" s="51"/>
      <c r="AJ300" s="51"/>
      <c r="AK300" s="51" t="s">
        <v>143</v>
      </c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</row>
    <row r="301" spans="1:63" ht="30" customHeight="1">
      <c r="A301" s="45">
        <v>300</v>
      </c>
      <c r="B301" s="46" t="s">
        <v>82</v>
      </c>
      <c r="C301" s="45">
        <f t="shared" si="45"/>
        <v>2025</v>
      </c>
      <c r="D301" s="47">
        <v>45679</v>
      </c>
      <c r="E301" s="46" t="s">
        <v>479</v>
      </c>
      <c r="F301" s="45" t="s">
        <v>363</v>
      </c>
      <c r="G301" s="45" t="s">
        <v>160</v>
      </c>
      <c r="H301" s="45">
        <v>8</v>
      </c>
      <c r="I301" s="45">
        <v>3</v>
      </c>
      <c r="J301" s="45"/>
      <c r="K301" s="45" t="s">
        <v>5</v>
      </c>
      <c r="L301" s="45"/>
      <c r="M301" s="45"/>
      <c r="N301" s="45"/>
      <c r="O301" s="45"/>
      <c r="P301" s="45"/>
      <c r="Q301" s="45"/>
      <c r="R301" s="45"/>
      <c r="S301" s="45"/>
      <c r="T301" s="45"/>
      <c r="U301" s="58"/>
      <c r="V301" s="45"/>
      <c r="W301" s="45"/>
      <c r="X301" s="45"/>
      <c r="Y301" s="45"/>
      <c r="Z301" s="45"/>
      <c r="AA301" s="45"/>
      <c r="AB301" s="45"/>
      <c r="AC301" s="45"/>
      <c r="AD301" s="45"/>
      <c r="AE301" s="45" t="e">
        <f t="shared" si="46"/>
        <v>#N/A</v>
      </c>
      <c r="AF301" s="45" t="e">
        <f t="shared" si="47"/>
        <v>#N/A</v>
      </c>
      <c r="AG301" s="45" t="e">
        <f t="shared" si="48"/>
        <v>#N/A</v>
      </c>
      <c r="AH301" s="45" t="e">
        <f t="shared" si="49"/>
        <v>#N/A</v>
      </c>
      <c r="AI301" s="45"/>
      <c r="AJ301" s="45"/>
      <c r="AK301" s="45" t="s">
        <v>427</v>
      </c>
      <c r="AL301" s="45"/>
      <c r="AM301" s="45"/>
      <c r="AN301" s="45"/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45"/>
      <c r="BE301" s="45"/>
      <c r="BF301" s="45"/>
      <c r="BG301" s="45"/>
      <c r="BH301" s="45"/>
      <c r="BI301" s="45"/>
      <c r="BJ301" s="45"/>
      <c r="BK301" s="45"/>
    </row>
    <row r="302" spans="1:63" ht="30" customHeight="1">
      <c r="A302" s="51">
        <v>301</v>
      </c>
      <c r="B302" s="52" t="s">
        <v>110</v>
      </c>
      <c r="C302" s="51">
        <f t="shared" si="45"/>
        <v>2025</v>
      </c>
      <c r="D302" s="53">
        <v>45682</v>
      </c>
      <c r="E302" s="52" t="s">
        <v>480</v>
      </c>
      <c r="F302" s="51" t="s">
        <v>363</v>
      </c>
      <c r="G302" s="51" t="s">
        <v>57</v>
      </c>
      <c r="H302" s="51">
        <v>8</v>
      </c>
      <c r="I302" s="51">
        <v>8</v>
      </c>
      <c r="J302" s="51"/>
      <c r="K302" s="51" t="str">
        <f>IF(H302=I302,"完结",IF(H302&gt;I302,"未完结"))</f>
        <v>完结</v>
      </c>
      <c r="L302" s="51"/>
      <c r="M302" s="51"/>
      <c r="N302" s="51"/>
      <c r="O302" s="51"/>
      <c r="P302" s="51"/>
      <c r="Q302" s="51"/>
      <c r="R302" s="51"/>
      <c r="S302" s="51"/>
      <c r="T302" s="51"/>
      <c r="U302" s="59"/>
      <c r="V302" s="51"/>
      <c r="W302" s="51"/>
      <c r="X302" s="51"/>
      <c r="Y302" s="51"/>
      <c r="Z302" s="51"/>
      <c r="AA302" s="51"/>
      <c r="AB302" s="51"/>
      <c r="AC302" s="51"/>
      <c r="AD302" s="51"/>
      <c r="AE302" s="51" t="e">
        <f t="shared" si="46"/>
        <v>#N/A</v>
      </c>
      <c r="AF302" s="51" t="e">
        <f t="shared" si="47"/>
        <v>#N/A</v>
      </c>
      <c r="AG302" s="51" t="e">
        <f t="shared" si="48"/>
        <v>#N/A</v>
      </c>
      <c r="AH302" s="51" t="e">
        <f t="shared" si="49"/>
        <v>#N/A</v>
      </c>
      <c r="AI302" s="51"/>
      <c r="AJ302" s="51"/>
      <c r="AK302" s="51" t="s">
        <v>359</v>
      </c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</row>
    <row r="303" spans="1:63" ht="30" customHeight="1">
      <c r="A303" s="48">
        <v>302</v>
      </c>
      <c r="B303" s="49" t="s">
        <v>110</v>
      </c>
      <c r="C303" s="48">
        <f t="shared" si="45"/>
        <v>2025</v>
      </c>
      <c r="D303" s="50">
        <v>45704</v>
      </c>
      <c r="E303" s="49" t="s">
        <v>481</v>
      </c>
      <c r="F303" s="48" t="s">
        <v>363</v>
      </c>
      <c r="G303" s="48" t="s">
        <v>119</v>
      </c>
      <c r="H303" s="48">
        <v>8</v>
      </c>
      <c r="I303" s="48">
        <v>8</v>
      </c>
      <c r="J303" s="48"/>
      <c r="K303" s="48" t="str">
        <f>IF(H303=I303,"完结",IF(H303&gt;I303,"未完结"))</f>
        <v>完结</v>
      </c>
      <c r="L303" s="48"/>
      <c r="M303" s="48"/>
      <c r="N303" s="48"/>
      <c r="O303" s="48"/>
      <c r="P303" s="48"/>
      <c r="Q303" s="48"/>
      <c r="R303" s="48"/>
      <c r="S303" s="48"/>
      <c r="T303" s="48"/>
      <c r="U303" s="59"/>
      <c r="V303" s="48"/>
      <c r="W303" s="48"/>
      <c r="X303" s="48"/>
      <c r="Y303" s="48"/>
      <c r="Z303" s="48"/>
      <c r="AA303" s="48"/>
      <c r="AB303" s="48"/>
      <c r="AC303" s="48"/>
      <c r="AD303" s="48"/>
      <c r="AE303" s="48" t="e">
        <f t="shared" si="46"/>
        <v>#N/A</v>
      </c>
      <c r="AF303" s="48" t="e">
        <f t="shared" si="47"/>
        <v>#N/A</v>
      </c>
      <c r="AG303" s="48" t="e">
        <f t="shared" si="48"/>
        <v>#N/A</v>
      </c>
      <c r="AH303" s="48" t="e">
        <f t="shared" si="49"/>
        <v>#N/A</v>
      </c>
      <c r="AI303" s="48"/>
      <c r="AJ303" s="48"/>
      <c r="AK303" s="48" t="s">
        <v>359</v>
      </c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</row>
    <row r="304" spans="1:63" ht="30" customHeight="1">
      <c r="A304" s="51">
        <v>303</v>
      </c>
      <c r="B304" s="52" t="s">
        <v>110</v>
      </c>
      <c r="C304" s="51">
        <f t="shared" si="45"/>
        <v>2025</v>
      </c>
      <c r="D304" s="53">
        <v>45705</v>
      </c>
      <c r="E304" s="52" t="s">
        <v>482</v>
      </c>
      <c r="F304" s="51" t="s">
        <v>363</v>
      </c>
      <c r="G304" s="51" t="s">
        <v>189</v>
      </c>
      <c r="H304" s="51" t="s">
        <v>107</v>
      </c>
      <c r="I304" s="51"/>
      <c r="J304" s="51"/>
      <c r="K304" s="51" t="s">
        <v>140</v>
      </c>
      <c r="L304" s="51"/>
      <c r="M304" s="51"/>
      <c r="N304" s="51"/>
      <c r="O304" s="51"/>
      <c r="P304" s="51"/>
      <c r="Q304" s="51"/>
      <c r="R304" s="51"/>
      <c r="S304" s="51"/>
      <c r="T304" s="51"/>
      <c r="U304" s="59"/>
      <c r="V304" s="51"/>
      <c r="W304" s="51"/>
      <c r="X304" s="51"/>
      <c r="Y304" s="51"/>
      <c r="Z304" s="51"/>
      <c r="AA304" s="51"/>
      <c r="AB304" s="51"/>
      <c r="AC304" s="51"/>
      <c r="AD304" s="51"/>
      <c r="AE304" s="51" t="e">
        <f t="shared" si="46"/>
        <v>#N/A</v>
      </c>
      <c r="AF304" s="51" t="e">
        <f t="shared" si="47"/>
        <v>#N/A</v>
      </c>
      <c r="AG304" s="51" t="e">
        <f t="shared" si="48"/>
        <v>#N/A</v>
      </c>
      <c r="AH304" s="51" t="e">
        <f t="shared" si="49"/>
        <v>#N/A</v>
      </c>
      <c r="AI304" s="51"/>
      <c r="AJ304" s="51"/>
      <c r="AK304" s="51" t="s">
        <v>143</v>
      </c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</row>
    <row r="305" spans="1:63" ht="30" customHeight="1">
      <c r="A305" s="54">
        <v>304</v>
      </c>
      <c r="B305" s="42" t="s">
        <v>110</v>
      </c>
      <c r="C305" s="54">
        <f t="shared" si="45"/>
        <v>2025</v>
      </c>
      <c r="D305" s="55">
        <v>45707</v>
      </c>
      <c r="E305" s="42" t="s">
        <v>483</v>
      </c>
      <c r="F305" s="54" t="s">
        <v>363</v>
      </c>
      <c r="G305" s="54" t="s">
        <v>57</v>
      </c>
      <c r="H305" s="54">
        <v>5</v>
      </c>
      <c r="I305" s="54">
        <v>5</v>
      </c>
      <c r="J305" s="54"/>
      <c r="K305" s="54" t="str">
        <f>IF(H305=I305,"完结",IF(H305&gt;I305,"未完结"))</f>
        <v>完结</v>
      </c>
      <c r="L305" s="54"/>
      <c r="M305" s="54"/>
      <c r="N305" s="54"/>
      <c r="O305" s="54"/>
      <c r="P305" s="54"/>
      <c r="Q305" s="54"/>
      <c r="R305" s="54"/>
      <c r="S305" s="54"/>
      <c r="T305" s="54"/>
      <c r="U305" s="59"/>
      <c r="V305" s="54"/>
      <c r="W305" s="54"/>
      <c r="X305" s="54"/>
      <c r="Y305" s="54"/>
      <c r="Z305" s="54"/>
      <c r="AA305" s="54"/>
      <c r="AB305" s="54"/>
      <c r="AC305" s="54"/>
      <c r="AD305" s="54"/>
      <c r="AE305" s="54" t="e">
        <f t="shared" si="46"/>
        <v>#N/A</v>
      </c>
      <c r="AF305" s="54" t="e">
        <f t="shared" si="47"/>
        <v>#N/A</v>
      </c>
      <c r="AG305" s="54" t="e">
        <f t="shared" si="48"/>
        <v>#N/A</v>
      </c>
      <c r="AH305" s="54" t="e">
        <f t="shared" si="49"/>
        <v>#N/A</v>
      </c>
      <c r="AI305" s="54"/>
      <c r="AJ305" s="54"/>
      <c r="AK305" s="54" t="s">
        <v>359</v>
      </c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  <c r="AX305" s="54"/>
      <c r="AY305" s="54"/>
      <c r="AZ305" s="54"/>
      <c r="BA305" s="54"/>
      <c r="BB305" s="54"/>
      <c r="BC305" s="54"/>
      <c r="BD305" s="54"/>
      <c r="BE305" s="54"/>
      <c r="BF305" s="54"/>
      <c r="BG305" s="54"/>
      <c r="BH305" s="54"/>
      <c r="BI305" s="54"/>
      <c r="BJ305" s="54"/>
      <c r="BK305" s="54"/>
    </row>
    <row r="306" spans="1:63" ht="30" customHeight="1">
      <c r="A306" s="51">
        <v>305</v>
      </c>
      <c r="B306" s="52" t="s">
        <v>61</v>
      </c>
      <c r="C306" s="51">
        <f t="shared" si="45"/>
        <v>2025</v>
      </c>
      <c r="D306" s="53">
        <v>45710</v>
      </c>
      <c r="E306" s="52" t="s">
        <v>484</v>
      </c>
      <c r="F306" s="51" t="s">
        <v>37</v>
      </c>
      <c r="G306" s="51" t="s">
        <v>57</v>
      </c>
      <c r="H306" s="51">
        <v>5</v>
      </c>
      <c r="I306" s="51">
        <v>5</v>
      </c>
      <c r="J306" s="51"/>
      <c r="K306" s="51" t="str">
        <f>IF(H306=I306,"完结",IF(H306&gt;I306,"未完结"))</f>
        <v>完结</v>
      </c>
      <c r="L306" s="51"/>
      <c r="M306" s="51"/>
      <c r="N306" s="51"/>
      <c r="O306" s="51"/>
      <c r="P306" s="51"/>
      <c r="Q306" s="51"/>
      <c r="R306" s="51"/>
      <c r="S306" s="51"/>
      <c r="T306" s="51"/>
      <c r="U306" s="59"/>
      <c r="V306" s="51"/>
      <c r="W306" s="51"/>
      <c r="X306" s="51"/>
      <c r="Y306" s="51"/>
      <c r="Z306" s="51"/>
      <c r="AA306" s="51"/>
      <c r="AB306" s="51"/>
      <c r="AC306" s="51"/>
      <c r="AD306" s="51"/>
      <c r="AE306" s="51" t="e">
        <f t="shared" si="46"/>
        <v>#N/A</v>
      </c>
      <c r="AF306" s="51" t="e">
        <f t="shared" si="47"/>
        <v>#N/A</v>
      </c>
      <c r="AG306" s="51" t="e">
        <f t="shared" si="48"/>
        <v>#N/A</v>
      </c>
      <c r="AH306" s="51" t="e">
        <f t="shared" si="49"/>
        <v>#N/A</v>
      </c>
      <c r="AI306" s="51"/>
      <c r="AJ306" s="51"/>
      <c r="AK306" s="51" t="s">
        <v>236</v>
      </c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</row>
    <row r="307" spans="1:63" ht="30" customHeight="1">
      <c r="A307" s="45">
        <v>306</v>
      </c>
      <c r="B307" s="46" t="s">
        <v>110</v>
      </c>
      <c r="C307" s="45">
        <f t="shared" si="45"/>
        <v>2025</v>
      </c>
      <c r="D307" s="47">
        <v>45713</v>
      </c>
      <c r="E307" s="46" t="s">
        <v>485</v>
      </c>
      <c r="F307" s="45" t="s">
        <v>363</v>
      </c>
      <c r="G307" s="45" t="s">
        <v>119</v>
      </c>
      <c r="H307" s="45">
        <v>4</v>
      </c>
      <c r="I307" s="45">
        <v>4</v>
      </c>
      <c r="J307" s="45"/>
      <c r="K307" s="45" t="str">
        <f>IF(H307=I307,"完结",IF(H307&gt;I307,"未完结"))</f>
        <v>完结</v>
      </c>
      <c r="L307" s="45"/>
      <c r="M307" s="45"/>
      <c r="N307" s="45"/>
      <c r="O307" s="45"/>
      <c r="P307" s="45"/>
      <c r="Q307" s="45"/>
      <c r="R307" s="45"/>
      <c r="S307" s="45"/>
      <c r="T307" s="45"/>
      <c r="U307" s="58"/>
      <c r="V307" s="45"/>
      <c r="W307" s="45"/>
      <c r="X307" s="45"/>
      <c r="Y307" s="45"/>
      <c r="Z307" s="45"/>
      <c r="AA307" s="45"/>
      <c r="AB307" s="45"/>
      <c r="AC307" s="45"/>
      <c r="AD307" s="45"/>
      <c r="AE307" s="45" t="e">
        <f t="shared" si="46"/>
        <v>#N/A</v>
      </c>
      <c r="AF307" s="45" t="e">
        <f t="shared" si="47"/>
        <v>#N/A</v>
      </c>
      <c r="AG307" s="45" t="e">
        <f t="shared" si="48"/>
        <v>#N/A</v>
      </c>
      <c r="AH307" s="45" t="e">
        <f t="shared" si="49"/>
        <v>#N/A</v>
      </c>
      <c r="AI307" s="45"/>
      <c r="AJ307" s="45"/>
      <c r="AK307" s="45" t="s">
        <v>359</v>
      </c>
      <c r="AL307" s="45"/>
      <c r="AM307" s="45"/>
      <c r="AN307" s="45"/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45"/>
      <c r="BE307" s="45"/>
      <c r="BF307" s="45"/>
      <c r="BG307" s="45"/>
      <c r="BH307" s="45"/>
      <c r="BI307" s="45"/>
      <c r="BJ307" s="45"/>
      <c r="BK307" s="45"/>
    </row>
    <row r="308" spans="1:63" ht="30" customHeight="1">
      <c r="A308" s="51">
        <v>307</v>
      </c>
      <c r="B308" s="52" t="s">
        <v>58</v>
      </c>
      <c r="C308" s="51">
        <f t="shared" si="45"/>
        <v>2025</v>
      </c>
      <c r="D308" s="53">
        <v>45723</v>
      </c>
      <c r="E308" s="52" t="s">
        <v>273</v>
      </c>
      <c r="F308" s="51" t="s">
        <v>37</v>
      </c>
      <c r="G308" s="51" t="s">
        <v>119</v>
      </c>
      <c r="H308" s="51">
        <v>7</v>
      </c>
      <c r="I308" s="51">
        <v>7</v>
      </c>
      <c r="J308" s="51"/>
      <c r="K308" s="51" t="str">
        <f>IF(H308=I308,"完结",IF(H308&gt;I308,"未完结"))</f>
        <v>完结</v>
      </c>
      <c r="L308" s="51"/>
      <c r="M308" s="51"/>
      <c r="N308" s="51"/>
      <c r="O308" s="51"/>
      <c r="P308" s="51" t="s">
        <v>166</v>
      </c>
      <c r="Q308" s="51" t="s">
        <v>270</v>
      </c>
      <c r="R308" s="51" t="s">
        <v>271</v>
      </c>
      <c r="S308" s="51" t="s">
        <v>43</v>
      </c>
      <c r="T308" s="51"/>
      <c r="U308" s="59"/>
      <c r="V308" s="51"/>
      <c r="W308" s="51"/>
      <c r="X308" s="51"/>
      <c r="Y308" s="51"/>
      <c r="Z308" s="51"/>
      <c r="AA308" s="51"/>
      <c r="AB308" s="51"/>
      <c r="AC308" s="51"/>
      <c r="AD308" s="51"/>
      <c r="AE308" s="51" t="str">
        <f t="shared" si="46"/>
        <v>国版</v>
      </c>
      <c r="AF308" s="51" t="str">
        <f t="shared" si="47"/>
        <v>2025/5/6</v>
      </c>
      <c r="AG308" s="51" t="str">
        <f t="shared" si="48"/>
        <v>2025/5/7</v>
      </c>
      <c r="AH308" s="51" t="str">
        <f t="shared" si="49"/>
        <v>已发证</v>
      </c>
      <c r="AI308" s="51"/>
      <c r="AJ308" s="51"/>
      <c r="AK308" s="51" t="s">
        <v>76</v>
      </c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</row>
    <row r="309" spans="1:63" ht="30" customHeight="1">
      <c r="A309" s="48">
        <v>308</v>
      </c>
      <c r="B309" s="49" t="s">
        <v>82</v>
      </c>
      <c r="C309" s="48">
        <f t="shared" si="45"/>
        <v>2025</v>
      </c>
      <c r="D309" s="50">
        <v>45731</v>
      </c>
      <c r="E309" s="49" t="s">
        <v>486</v>
      </c>
      <c r="F309" s="48" t="s">
        <v>37</v>
      </c>
      <c r="G309" s="48" t="s">
        <v>57</v>
      </c>
      <c r="H309" s="48">
        <v>5</v>
      </c>
      <c r="I309" s="48">
        <v>5</v>
      </c>
      <c r="J309" s="48"/>
      <c r="K309" s="48" t="str">
        <f>IF(H309=I309,"完结",IF(H309&gt;I309,"未完结"))</f>
        <v>完结</v>
      </c>
      <c r="L309" s="48"/>
      <c r="M309" s="48"/>
      <c r="N309" s="48"/>
      <c r="O309" s="48"/>
      <c r="P309" s="48"/>
      <c r="Q309" s="48"/>
      <c r="R309" s="48"/>
      <c r="S309" s="48"/>
      <c r="T309" s="48"/>
      <c r="U309" s="59"/>
      <c r="V309" s="48"/>
      <c r="W309" s="48"/>
      <c r="X309" s="48"/>
      <c r="Y309" s="48"/>
      <c r="Z309" s="48"/>
      <c r="AA309" s="48"/>
      <c r="AB309" s="48"/>
      <c r="AC309" s="48"/>
      <c r="AD309" s="48"/>
      <c r="AE309" s="48" t="e">
        <f t="shared" si="46"/>
        <v>#N/A</v>
      </c>
      <c r="AF309" s="48" t="e">
        <f t="shared" si="47"/>
        <v>#N/A</v>
      </c>
      <c r="AG309" s="48" t="e">
        <f t="shared" si="48"/>
        <v>#N/A</v>
      </c>
      <c r="AH309" s="48" t="e">
        <f t="shared" si="49"/>
        <v>#N/A</v>
      </c>
      <c r="AI309" s="48"/>
      <c r="AJ309" s="48"/>
      <c r="AK309" s="48" t="s">
        <v>427</v>
      </c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</row>
    <row r="310" spans="1:63" ht="30" customHeight="1">
      <c r="A310" s="51">
        <v>309</v>
      </c>
      <c r="B310" s="52" t="s">
        <v>58</v>
      </c>
      <c r="C310" s="51">
        <f t="shared" si="45"/>
        <v>2025</v>
      </c>
      <c r="D310" s="53">
        <v>45735</v>
      </c>
      <c r="E310" s="52" t="s">
        <v>487</v>
      </c>
      <c r="F310" s="51" t="s">
        <v>107</v>
      </c>
      <c r="G310" s="51" t="s">
        <v>119</v>
      </c>
      <c r="H310" s="51" t="s">
        <v>107</v>
      </c>
      <c r="I310" s="51"/>
      <c r="J310" s="51"/>
      <c r="K310" s="51" t="s">
        <v>488</v>
      </c>
      <c r="L310" s="51"/>
      <c r="M310" s="51"/>
      <c r="N310" s="51"/>
      <c r="O310" s="51"/>
      <c r="P310" s="51"/>
      <c r="Q310" s="51"/>
      <c r="R310" s="51"/>
      <c r="S310" s="51"/>
      <c r="T310" s="51"/>
      <c r="U310" s="59"/>
      <c r="V310" s="51"/>
      <c r="W310" s="51"/>
      <c r="X310" s="51"/>
      <c r="Y310" s="51"/>
      <c r="Z310" s="51"/>
      <c r="AA310" s="51"/>
      <c r="AB310" s="51"/>
      <c r="AC310" s="51"/>
      <c r="AD310" s="51"/>
      <c r="AE310" s="51" t="e">
        <f t="shared" si="46"/>
        <v>#N/A</v>
      </c>
      <c r="AF310" s="51" t="e">
        <f t="shared" si="47"/>
        <v>#N/A</v>
      </c>
      <c r="AG310" s="51" t="e">
        <f t="shared" si="48"/>
        <v>#N/A</v>
      </c>
      <c r="AH310" s="51" t="e">
        <f t="shared" si="49"/>
        <v>#N/A</v>
      </c>
      <c r="AI310" s="51"/>
      <c r="AJ310" s="51"/>
      <c r="AK310" s="51" t="s">
        <v>76</v>
      </c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</row>
    <row r="311" spans="1:63" ht="30" customHeight="1">
      <c r="A311" s="54">
        <v>310</v>
      </c>
      <c r="B311" s="42" t="s">
        <v>58</v>
      </c>
      <c r="C311" s="54">
        <f t="shared" si="45"/>
        <v>2025</v>
      </c>
      <c r="D311" s="55">
        <v>45738</v>
      </c>
      <c r="E311" s="42" t="s">
        <v>252</v>
      </c>
      <c r="F311" s="54" t="s">
        <v>37</v>
      </c>
      <c r="G311" s="54" t="s">
        <v>119</v>
      </c>
      <c r="H311" s="54">
        <v>8</v>
      </c>
      <c r="I311" s="54">
        <v>8</v>
      </c>
      <c r="J311" s="54"/>
      <c r="K311" s="54" t="str">
        <f t="shared" ref="K311:K333" si="52">IF(H311=I311,"完结",IF(H311&gt;I311,"未完结"))</f>
        <v>完结</v>
      </c>
      <c r="L311" s="54"/>
      <c r="M311" s="54"/>
      <c r="N311" s="54"/>
      <c r="O311" s="54"/>
      <c r="P311" s="54" t="s">
        <v>166</v>
      </c>
      <c r="Q311" s="54" t="s">
        <v>253</v>
      </c>
      <c r="R311" s="54" t="s">
        <v>254</v>
      </c>
      <c r="S311" s="54" t="s">
        <v>43</v>
      </c>
      <c r="T311" s="54"/>
      <c r="U311" s="59"/>
      <c r="V311" s="54"/>
      <c r="W311" s="54"/>
      <c r="X311" s="54"/>
      <c r="Y311" s="54"/>
      <c r="Z311" s="54"/>
      <c r="AA311" s="54"/>
      <c r="AB311" s="54"/>
      <c r="AC311" s="54"/>
      <c r="AD311" s="54"/>
      <c r="AE311" s="54" t="str">
        <f t="shared" si="46"/>
        <v>国版</v>
      </c>
      <c r="AF311" s="54" t="str">
        <f t="shared" si="47"/>
        <v>2025/5/21</v>
      </c>
      <c r="AG311" s="54" t="str">
        <f t="shared" si="48"/>
        <v>2025/5/22</v>
      </c>
      <c r="AH311" s="54" t="str">
        <f t="shared" si="49"/>
        <v>已发证</v>
      </c>
      <c r="AI311" s="54"/>
      <c r="AJ311" s="54"/>
      <c r="AK311" s="54" t="s">
        <v>76</v>
      </c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54"/>
      <c r="BJ311" s="54"/>
      <c r="BK311" s="54"/>
    </row>
    <row r="312" spans="1:63" ht="30" customHeight="1">
      <c r="A312" s="51">
        <v>311</v>
      </c>
      <c r="B312" s="52" t="s">
        <v>49</v>
      </c>
      <c r="C312" s="51">
        <f t="shared" si="45"/>
        <v>2025</v>
      </c>
      <c r="D312" s="53">
        <v>45746</v>
      </c>
      <c r="E312" s="52" t="s">
        <v>489</v>
      </c>
      <c r="F312" s="51" t="s">
        <v>81</v>
      </c>
      <c r="G312" s="51" t="s">
        <v>57</v>
      </c>
      <c r="H312" s="51">
        <v>6</v>
      </c>
      <c r="I312" s="51">
        <v>6</v>
      </c>
      <c r="J312" s="51"/>
      <c r="K312" s="51" t="str">
        <f t="shared" si="52"/>
        <v>完结</v>
      </c>
      <c r="L312" s="51"/>
      <c r="M312" s="51"/>
      <c r="N312" s="51"/>
      <c r="O312" s="51"/>
      <c r="P312" s="51"/>
      <c r="Q312" s="51"/>
      <c r="R312" s="51"/>
      <c r="S312" s="51"/>
      <c r="T312" s="51"/>
      <c r="U312" s="59"/>
      <c r="V312" s="51"/>
      <c r="W312" s="51"/>
      <c r="X312" s="51"/>
      <c r="Y312" s="51"/>
      <c r="Z312" s="51"/>
      <c r="AA312" s="51"/>
      <c r="AB312" s="51"/>
      <c r="AC312" s="51"/>
      <c r="AD312" s="51"/>
      <c r="AE312" s="51" t="e">
        <f t="shared" si="46"/>
        <v>#N/A</v>
      </c>
      <c r="AF312" s="51" t="e">
        <f t="shared" si="47"/>
        <v>#N/A</v>
      </c>
      <c r="AG312" s="51" t="e">
        <f t="shared" si="48"/>
        <v>#N/A</v>
      </c>
      <c r="AH312" s="51" t="e">
        <f t="shared" si="49"/>
        <v>#N/A</v>
      </c>
      <c r="AI312" s="51"/>
      <c r="AJ312" s="51"/>
      <c r="AK312" s="51" t="s">
        <v>76</v>
      </c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</row>
    <row r="313" spans="1:63" ht="30" customHeight="1">
      <c r="A313" s="45">
        <v>312</v>
      </c>
      <c r="B313" s="46" t="s">
        <v>73</v>
      </c>
      <c r="C313" s="45">
        <f t="shared" si="45"/>
        <v>2025</v>
      </c>
      <c r="D313" s="47">
        <v>45748</v>
      </c>
      <c r="E313" s="46" t="s">
        <v>490</v>
      </c>
      <c r="F313" s="45" t="s">
        <v>37</v>
      </c>
      <c r="G313" s="45" t="s">
        <v>119</v>
      </c>
      <c r="H313" s="45">
        <v>4</v>
      </c>
      <c r="I313" s="45">
        <v>4</v>
      </c>
      <c r="J313" s="45"/>
      <c r="K313" s="45" t="str">
        <f t="shared" si="52"/>
        <v>完结</v>
      </c>
      <c r="L313" s="45"/>
      <c r="M313" s="45"/>
      <c r="N313" s="45"/>
      <c r="O313" s="45"/>
      <c r="P313" s="45"/>
      <c r="Q313" s="45"/>
      <c r="R313" s="45"/>
      <c r="S313" s="45"/>
      <c r="T313" s="45"/>
      <c r="U313" s="58"/>
      <c r="V313" s="45"/>
      <c r="W313" s="45"/>
      <c r="X313" s="45"/>
      <c r="Y313" s="45"/>
      <c r="Z313" s="45"/>
      <c r="AA313" s="45"/>
      <c r="AB313" s="45"/>
      <c r="AC313" s="45"/>
      <c r="AD313" s="45"/>
      <c r="AE313" s="45" t="e">
        <f t="shared" si="46"/>
        <v>#N/A</v>
      </c>
      <c r="AF313" s="45" t="e">
        <f t="shared" si="47"/>
        <v>#N/A</v>
      </c>
      <c r="AG313" s="45" t="e">
        <f t="shared" si="48"/>
        <v>#N/A</v>
      </c>
      <c r="AH313" s="45" t="e">
        <f t="shared" si="49"/>
        <v>#N/A</v>
      </c>
      <c r="AI313" s="45"/>
      <c r="AJ313" s="45"/>
      <c r="AK313" s="45" t="s">
        <v>76</v>
      </c>
      <c r="AL313" s="45"/>
      <c r="AM313" s="45"/>
      <c r="AN313" s="45"/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45"/>
      <c r="BE313" s="45"/>
      <c r="BF313" s="45"/>
      <c r="BG313" s="45"/>
      <c r="BH313" s="45"/>
      <c r="BI313" s="45"/>
      <c r="BJ313" s="45"/>
      <c r="BK313" s="45"/>
    </row>
    <row r="314" spans="1:63" ht="30" customHeight="1">
      <c r="A314" s="51">
        <v>313</v>
      </c>
      <c r="B314" s="52" t="s">
        <v>73</v>
      </c>
      <c r="C314" s="51">
        <f t="shared" si="45"/>
        <v>2025</v>
      </c>
      <c r="D314" s="53">
        <v>45762</v>
      </c>
      <c r="E314" s="52" t="s">
        <v>491</v>
      </c>
      <c r="F314" s="51" t="s">
        <v>37</v>
      </c>
      <c r="G314" s="51" t="s">
        <v>119</v>
      </c>
      <c r="H314" s="51">
        <v>5</v>
      </c>
      <c r="I314" s="51">
        <v>5</v>
      </c>
      <c r="J314" s="51"/>
      <c r="K314" s="51" t="str">
        <f t="shared" si="52"/>
        <v>完结</v>
      </c>
      <c r="L314" s="51"/>
      <c r="M314" s="51"/>
      <c r="N314" s="51"/>
      <c r="O314" s="51"/>
      <c r="P314" s="51"/>
      <c r="Q314" s="51"/>
      <c r="R314" s="51"/>
      <c r="S314" s="51"/>
      <c r="T314" s="51"/>
      <c r="U314" s="59"/>
      <c r="V314" s="51"/>
      <c r="W314" s="51"/>
      <c r="X314" s="51"/>
      <c r="Y314" s="51"/>
      <c r="Z314" s="51"/>
      <c r="AA314" s="51"/>
      <c r="AB314" s="51"/>
      <c r="AC314" s="51"/>
      <c r="AD314" s="51"/>
      <c r="AE314" s="51" t="e">
        <f t="shared" si="46"/>
        <v>#N/A</v>
      </c>
      <c r="AF314" s="51" t="e">
        <f t="shared" si="47"/>
        <v>#N/A</v>
      </c>
      <c r="AG314" s="51" t="e">
        <f t="shared" si="48"/>
        <v>#N/A</v>
      </c>
      <c r="AH314" s="51" t="e">
        <f t="shared" si="49"/>
        <v>#N/A</v>
      </c>
      <c r="AI314" s="51"/>
      <c r="AJ314" s="51"/>
      <c r="AK314" s="51" t="s">
        <v>325</v>
      </c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</row>
    <row r="315" spans="1:63" ht="30" customHeight="1">
      <c r="A315" s="48">
        <v>314</v>
      </c>
      <c r="B315" s="49" t="s">
        <v>35</v>
      </c>
      <c r="C315" s="48">
        <f t="shared" si="45"/>
        <v>2025</v>
      </c>
      <c r="D315" s="50">
        <v>45769</v>
      </c>
      <c r="E315" s="49" t="s">
        <v>492</v>
      </c>
      <c r="F315" s="48" t="s">
        <v>48</v>
      </c>
      <c r="G315" s="48" t="s">
        <v>119</v>
      </c>
      <c r="H315" s="48">
        <v>5</v>
      </c>
      <c r="I315" s="48">
        <v>5</v>
      </c>
      <c r="J315" s="48"/>
      <c r="K315" s="48" t="str">
        <f t="shared" si="52"/>
        <v>完结</v>
      </c>
      <c r="L315" s="48"/>
      <c r="M315" s="48"/>
      <c r="N315" s="48"/>
      <c r="O315" s="48"/>
      <c r="P315" s="48"/>
      <c r="Q315" s="48"/>
      <c r="R315" s="48"/>
      <c r="S315" s="48"/>
      <c r="T315" s="48"/>
      <c r="U315" s="59"/>
      <c r="V315" s="48"/>
      <c r="W315" s="48"/>
      <c r="X315" s="48"/>
      <c r="Y315" s="48"/>
      <c r="Z315" s="48"/>
      <c r="AA315" s="48"/>
      <c r="AB315" s="48"/>
      <c r="AC315" s="48"/>
      <c r="AD315" s="48"/>
      <c r="AE315" s="48" t="e">
        <f t="shared" si="46"/>
        <v>#N/A</v>
      </c>
      <c r="AF315" s="48" t="e">
        <f t="shared" si="47"/>
        <v>#N/A</v>
      </c>
      <c r="AG315" s="48" t="e">
        <f t="shared" si="48"/>
        <v>#N/A</v>
      </c>
      <c r="AH315" s="48" t="e">
        <f t="shared" si="49"/>
        <v>#N/A</v>
      </c>
      <c r="AI315" s="48"/>
      <c r="AJ315" s="48"/>
      <c r="AK315" s="48" t="s">
        <v>276</v>
      </c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</row>
    <row r="316" spans="1:63" ht="30" customHeight="1">
      <c r="A316" s="51">
        <v>315</v>
      </c>
      <c r="B316" s="52" t="s">
        <v>35</v>
      </c>
      <c r="C316" s="51">
        <f t="shared" si="45"/>
        <v>2025</v>
      </c>
      <c r="D316" s="53">
        <v>45776</v>
      </c>
      <c r="E316" s="52" t="s">
        <v>493</v>
      </c>
      <c r="F316" s="51" t="s">
        <v>48</v>
      </c>
      <c r="G316" s="51" t="s">
        <v>119</v>
      </c>
      <c r="H316" s="51">
        <v>4</v>
      </c>
      <c r="I316" s="51">
        <v>4</v>
      </c>
      <c r="J316" s="51"/>
      <c r="K316" s="51" t="str">
        <f t="shared" si="52"/>
        <v>完结</v>
      </c>
      <c r="L316" s="51"/>
      <c r="M316" s="51"/>
      <c r="N316" s="51"/>
      <c r="O316" s="51"/>
      <c r="P316" s="51"/>
      <c r="Q316" s="51"/>
      <c r="R316" s="51"/>
      <c r="S316" s="51"/>
      <c r="T316" s="51"/>
      <c r="U316" s="59"/>
      <c r="V316" s="51"/>
      <c r="W316" s="51"/>
      <c r="X316" s="51"/>
      <c r="Y316" s="51"/>
      <c r="Z316" s="51"/>
      <c r="AA316" s="51"/>
      <c r="AB316" s="51"/>
      <c r="AC316" s="51"/>
      <c r="AD316" s="51"/>
      <c r="AE316" s="51" t="e">
        <f t="shared" si="46"/>
        <v>#N/A</v>
      </c>
      <c r="AF316" s="51" t="e">
        <f t="shared" si="47"/>
        <v>#N/A</v>
      </c>
      <c r="AG316" s="51" t="e">
        <f t="shared" si="48"/>
        <v>#N/A</v>
      </c>
      <c r="AH316" s="51" t="e">
        <f t="shared" si="49"/>
        <v>#N/A</v>
      </c>
      <c r="AI316" s="51"/>
      <c r="AJ316" s="51"/>
      <c r="AK316" s="51" t="s">
        <v>276</v>
      </c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</row>
    <row r="317" spans="1:63" ht="30" customHeight="1">
      <c r="A317" s="54">
        <v>316</v>
      </c>
      <c r="B317" s="42" t="s">
        <v>45</v>
      </c>
      <c r="C317" s="54">
        <f t="shared" si="45"/>
        <v>2025</v>
      </c>
      <c r="D317" s="55">
        <v>45783</v>
      </c>
      <c r="E317" s="42" t="s">
        <v>494</v>
      </c>
      <c r="F317" s="54" t="s">
        <v>54</v>
      </c>
      <c r="G317" s="54" t="s">
        <v>119</v>
      </c>
      <c r="H317" s="54">
        <v>4</v>
      </c>
      <c r="I317" s="54">
        <v>4</v>
      </c>
      <c r="J317" s="54"/>
      <c r="K317" s="54" t="str">
        <f t="shared" si="52"/>
        <v>完结</v>
      </c>
      <c r="L317" s="54"/>
      <c r="M317" s="54"/>
      <c r="N317" s="54"/>
      <c r="O317" s="54"/>
      <c r="P317" s="54"/>
      <c r="Q317" s="54"/>
      <c r="R317" s="54"/>
      <c r="S317" s="54"/>
      <c r="T317" s="54"/>
      <c r="U317" s="59"/>
      <c r="V317" s="54"/>
      <c r="W317" s="54"/>
      <c r="X317" s="54"/>
      <c r="Y317" s="54"/>
      <c r="Z317" s="54"/>
      <c r="AA317" s="54"/>
      <c r="AB317" s="54"/>
      <c r="AC317" s="54"/>
      <c r="AD317" s="54"/>
      <c r="AE317" s="54" t="e">
        <f t="shared" si="46"/>
        <v>#N/A</v>
      </c>
      <c r="AF317" s="54" t="e">
        <f t="shared" si="47"/>
        <v>#N/A</v>
      </c>
      <c r="AG317" s="54" t="e">
        <f t="shared" si="48"/>
        <v>#N/A</v>
      </c>
      <c r="AH317" s="54" t="e">
        <f t="shared" si="49"/>
        <v>#N/A</v>
      </c>
      <c r="AI317" s="54"/>
      <c r="AJ317" s="54"/>
      <c r="AK317" s="54" t="s">
        <v>52</v>
      </c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</row>
    <row r="318" spans="1:63" ht="30" customHeight="1">
      <c r="A318" s="51">
        <v>317</v>
      </c>
      <c r="B318" s="52" t="s">
        <v>73</v>
      </c>
      <c r="C318" s="51">
        <f t="shared" si="45"/>
        <v>2025</v>
      </c>
      <c r="D318" s="53">
        <v>45799</v>
      </c>
      <c r="E318" s="52" t="s">
        <v>495</v>
      </c>
      <c r="F318" s="51" t="s">
        <v>37</v>
      </c>
      <c r="G318" s="51" t="s">
        <v>119</v>
      </c>
      <c r="H318" s="51">
        <v>5</v>
      </c>
      <c r="I318" s="51">
        <v>5</v>
      </c>
      <c r="J318" s="51"/>
      <c r="K318" s="51" t="str">
        <f t="shared" si="52"/>
        <v>完结</v>
      </c>
      <c r="L318" s="51"/>
      <c r="M318" s="51"/>
      <c r="N318" s="51"/>
      <c r="O318" s="51"/>
      <c r="P318" s="51"/>
      <c r="Q318" s="51"/>
      <c r="R318" s="51"/>
      <c r="S318" s="51"/>
      <c r="T318" s="51"/>
      <c r="U318" s="59"/>
      <c r="V318" s="51"/>
      <c r="W318" s="51"/>
      <c r="X318" s="51"/>
      <c r="Y318" s="51"/>
      <c r="Z318" s="51"/>
      <c r="AA318" s="51"/>
      <c r="AB318" s="51"/>
      <c r="AC318" s="51"/>
      <c r="AD318" s="51"/>
      <c r="AE318" s="51" t="e">
        <f t="shared" si="46"/>
        <v>#N/A</v>
      </c>
      <c r="AF318" s="51" t="e">
        <f t="shared" si="47"/>
        <v>#N/A</v>
      </c>
      <c r="AG318" s="51" t="e">
        <f t="shared" si="48"/>
        <v>#N/A</v>
      </c>
      <c r="AH318" s="51" t="e">
        <f t="shared" si="49"/>
        <v>#N/A</v>
      </c>
      <c r="AI318" s="51"/>
      <c r="AJ318" s="51"/>
      <c r="AK318" s="51" t="s">
        <v>325</v>
      </c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</row>
    <row r="319" spans="1:63" ht="30" customHeight="1">
      <c r="A319" s="45">
        <v>318</v>
      </c>
      <c r="B319" s="46" t="s">
        <v>164</v>
      </c>
      <c r="C319" s="45">
        <f t="shared" si="45"/>
        <v>2025</v>
      </c>
      <c r="D319" s="47">
        <v>45825</v>
      </c>
      <c r="E319" s="46" t="s">
        <v>496</v>
      </c>
      <c r="F319" s="45" t="s">
        <v>11</v>
      </c>
      <c r="G319" s="45" t="s">
        <v>119</v>
      </c>
      <c r="H319" s="45">
        <v>5</v>
      </c>
      <c r="I319" s="45">
        <v>5</v>
      </c>
      <c r="J319" s="45"/>
      <c r="K319" s="45" t="str">
        <f t="shared" si="52"/>
        <v>完结</v>
      </c>
      <c r="L319" s="45"/>
      <c r="M319" s="45"/>
      <c r="N319" s="45"/>
      <c r="O319" s="45"/>
      <c r="P319" s="45"/>
      <c r="Q319" s="45"/>
      <c r="R319" s="45"/>
      <c r="S319" s="45"/>
      <c r="T319" s="45"/>
      <c r="U319" s="58"/>
      <c r="V319" s="45"/>
      <c r="W319" s="45"/>
      <c r="X319" s="45"/>
      <c r="Y319" s="45"/>
      <c r="Z319" s="45"/>
      <c r="AA319" s="45"/>
      <c r="AB319" s="45"/>
      <c r="AC319" s="45"/>
      <c r="AD319" s="45"/>
      <c r="AE319" s="45" t="e">
        <f t="shared" si="46"/>
        <v>#N/A</v>
      </c>
      <c r="AF319" s="45" t="e">
        <f t="shared" si="47"/>
        <v>#N/A</v>
      </c>
      <c r="AG319" s="45" t="e">
        <f t="shared" si="48"/>
        <v>#N/A</v>
      </c>
      <c r="AH319" s="45" t="e">
        <f t="shared" si="49"/>
        <v>#N/A</v>
      </c>
      <c r="AI319" s="45"/>
      <c r="AJ319" s="45"/>
      <c r="AK319" s="45" t="s">
        <v>330</v>
      </c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45"/>
      <c r="BE319" s="45"/>
      <c r="BF319" s="45"/>
      <c r="BG319" s="45"/>
      <c r="BH319" s="45"/>
      <c r="BI319" s="45"/>
      <c r="BJ319" s="45"/>
      <c r="BK319" s="45"/>
    </row>
    <row r="320" spans="1:63" ht="30" customHeight="1">
      <c r="A320" s="51">
        <v>319</v>
      </c>
      <c r="B320" s="52" t="s">
        <v>164</v>
      </c>
      <c r="C320" s="51">
        <f t="shared" si="45"/>
        <v>2025</v>
      </c>
      <c r="D320" s="53">
        <v>45831</v>
      </c>
      <c r="E320" s="52" t="s">
        <v>497</v>
      </c>
      <c r="F320" s="51" t="s">
        <v>11</v>
      </c>
      <c r="G320" s="51" t="s">
        <v>119</v>
      </c>
      <c r="H320" s="51">
        <v>3</v>
      </c>
      <c r="I320" s="51">
        <v>3</v>
      </c>
      <c r="J320" s="51"/>
      <c r="K320" s="51" t="str">
        <f t="shared" si="52"/>
        <v>完结</v>
      </c>
      <c r="L320" s="51"/>
      <c r="M320" s="51"/>
      <c r="N320" s="51"/>
      <c r="O320" s="51"/>
      <c r="P320" s="51"/>
      <c r="Q320" s="51"/>
      <c r="R320" s="51"/>
      <c r="S320" s="51"/>
      <c r="T320" s="51"/>
      <c r="U320" s="59"/>
      <c r="V320" s="51"/>
      <c r="W320" s="51"/>
      <c r="X320" s="51"/>
      <c r="Y320" s="51"/>
      <c r="Z320" s="51"/>
      <c r="AA320" s="51"/>
      <c r="AB320" s="51"/>
      <c r="AC320" s="51"/>
      <c r="AD320" s="51"/>
      <c r="AE320" s="51" t="e">
        <f t="shared" si="46"/>
        <v>#N/A</v>
      </c>
      <c r="AF320" s="51" t="e">
        <f t="shared" si="47"/>
        <v>#N/A</v>
      </c>
      <c r="AG320" s="51" t="e">
        <f t="shared" si="48"/>
        <v>#N/A</v>
      </c>
      <c r="AH320" s="51" t="e">
        <f t="shared" si="49"/>
        <v>#N/A</v>
      </c>
      <c r="AI320" s="51"/>
      <c r="AJ320" s="51"/>
      <c r="AK320" s="51" t="s">
        <v>330</v>
      </c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</row>
    <row r="321" spans="1:63" ht="30" customHeight="1">
      <c r="A321" s="48">
        <v>320</v>
      </c>
      <c r="B321" s="49" t="s">
        <v>73</v>
      </c>
      <c r="C321" s="48">
        <f t="shared" si="45"/>
        <v>2025</v>
      </c>
      <c r="D321" s="50">
        <v>45831</v>
      </c>
      <c r="E321" s="49" t="s">
        <v>498</v>
      </c>
      <c r="F321" s="48" t="s">
        <v>37</v>
      </c>
      <c r="G321" s="48" t="s">
        <v>119</v>
      </c>
      <c r="H321" s="48">
        <v>4</v>
      </c>
      <c r="I321" s="48">
        <v>4</v>
      </c>
      <c r="J321" s="48"/>
      <c r="K321" s="48" t="str">
        <f t="shared" si="52"/>
        <v>完结</v>
      </c>
      <c r="L321" s="48"/>
      <c r="M321" s="48"/>
      <c r="N321" s="48"/>
      <c r="O321" s="48"/>
      <c r="P321" s="48"/>
      <c r="Q321" s="48"/>
      <c r="R321" s="48"/>
      <c r="S321" s="48"/>
      <c r="T321" s="48"/>
      <c r="U321" s="59"/>
      <c r="V321" s="48"/>
      <c r="W321" s="48"/>
      <c r="X321" s="48"/>
      <c r="Y321" s="48"/>
      <c r="Z321" s="48"/>
      <c r="AA321" s="48"/>
      <c r="AB321" s="48"/>
      <c r="AC321" s="48"/>
      <c r="AD321" s="48"/>
      <c r="AE321" s="48" t="e">
        <f t="shared" si="46"/>
        <v>#N/A</v>
      </c>
      <c r="AF321" s="48" t="e">
        <f t="shared" si="47"/>
        <v>#N/A</v>
      </c>
      <c r="AG321" s="48" t="e">
        <f t="shared" si="48"/>
        <v>#N/A</v>
      </c>
      <c r="AH321" s="48" t="e">
        <f t="shared" si="49"/>
        <v>#N/A</v>
      </c>
      <c r="AI321" s="48"/>
      <c r="AJ321" s="48"/>
      <c r="AK321" s="48" t="s">
        <v>325</v>
      </c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</row>
    <row r="322" spans="1:63" ht="30" customHeight="1">
      <c r="A322" s="51">
        <v>321</v>
      </c>
      <c r="B322" s="52" t="s">
        <v>164</v>
      </c>
      <c r="C322" s="51">
        <f t="shared" ref="C322:C334" si="53">YEAR(D322)</f>
        <v>2025</v>
      </c>
      <c r="D322" s="53">
        <v>45838</v>
      </c>
      <c r="E322" s="52" t="s">
        <v>499</v>
      </c>
      <c r="F322" s="51" t="s">
        <v>11</v>
      </c>
      <c r="G322" s="51" t="s">
        <v>119</v>
      </c>
      <c r="H322" s="51">
        <v>4</v>
      </c>
      <c r="I322" s="51">
        <v>4</v>
      </c>
      <c r="J322" s="51"/>
      <c r="K322" s="51" t="str">
        <f t="shared" si="52"/>
        <v>完结</v>
      </c>
      <c r="L322" s="51"/>
      <c r="M322" s="51"/>
      <c r="N322" s="51"/>
      <c r="O322" s="51"/>
      <c r="P322" s="51"/>
      <c r="Q322" s="51"/>
      <c r="R322" s="51"/>
      <c r="S322" s="51"/>
      <c r="T322" s="51"/>
      <c r="U322" s="59"/>
      <c r="V322" s="51"/>
      <c r="W322" s="51"/>
      <c r="X322" s="51"/>
      <c r="Y322" s="51"/>
      <c r="Z322" s="51"/>
      <c r="AA322" s="51"/>
      <c r="AB322" s="51"/>
      <c r="AC322" s="51"/>
      <c r="AD322" s="51"/>
      <c r="AE322" s="51" t="e">
        <f t="shared" si="46"/>
        <v>#N/A</v>
      </c>
      <c r="AF322" s="51" t="e">
        <f t="shared" si="47"/>
        <v>#N/A</v>
      </c>
      <c r="AG322" s="51" t="e">
        <f t="shared" si="48"/>
        <v>#N/A</v>
      </c>
      <c r="AH322" s="51" t="e">
        <f t="shared" si="49"/>
        <v>#N/A</v>
      </c>
      <c r="AI322" s="51"/>
      <c r="AJ322" s="51"/>
      <c r="AK322" s="51" t="s">
        <v>359</v>
      </c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</row>
    <row r="323" spans="1:63" ht="30" customHeight="1">
      <c r="A323" s="54">
        <v>322</v>
      </c>
      <c r="B323" s="42" t="s">
        <v>35</v>
      </c>
      <c r="C323" s="54">
        <f t="shared" si="53"/>
        <v>2025</v>
      </c>
      <c r="D323" s="55">
        <v>45861</v>
      </c>
      <c r="E323" s="42" t="s">
        <v>500</v>
      </c>
      <c r="F323" s="54" t="s">
        <v>48</v>
      </c>
      <c r="G323" s="54" t="s">
        <v>119</v>
      </c>
      <c r="H323" s="54">
        <v>5</v>
      </c>
      <c r="I323" s="54">
        <v>5</v>
      </c>
      <c r="J323" s="54"/>
      <c r="K323" s="54" t="str">
        <f t="shared" si="52"/>
        <v>完结</v>
      </c>
      <c r="L323" s="54"/>
      <c r="M323" s="54"/>
      <c r="N323" s="54"/>
      <c r="O323" s="54"/>
      <c r="P323" s="54"/>
      <c r="Q323" s="54"/>
      <c r="R323" s="54"/>
      <c r="S323" s="54"/>
      <c r="T323" s="54"/>
      <c r="U323" s="59"/>
      <c r="V323" s="54"/>
      <c r="W323" s="54"/>
      <c r="X323" s="54"/>
      <c r="Y323" s="54"/>
      <c r="Z323" s="54"/>
      <c r="AA323" s="54"/>
      <c r="AB323" s="54"/>
      <c r="AC323" s="54"/>
      <c r="AD323" s="54"/>
      <c r="AE323" s="54" t="e">
        <f t="shared" ref="AE323:AE369" si="54">VLOOKUP($E323,$Z$2:$AD$76,2,FALSE)</f>
        <v>#N/A</v>
      </c>
      <c r="AF323" s="54" t="e">
        <f t="shared" ref="AF323:AF369" si="55">VLOOKUP($E323,$Z$2:$AD$76,3,FALSE)</f>
        <v>#N/A</v>
      </c>
      <c r="AG323" s="54" t="e">
        <f t="shared" ref="AG323:AG369" si="56">VLOOKUP($E323,$Z$2:$AD$76,4,FALSE)</f>
        <v>#N/A</v>
      </c>
      <c r="AH323" s="54" t="e">
        <f t="shared" ref="AH323:AH369" si="57">VLOOKUP($E323,$Z$2:$AD$76,5,FALSE)</f>
        <v>#N/A</v>
      </c>
      <c r="AI323" s="54"/>
      <c r="AJ323" s="54"/>
      <c r="AK323" s="54" t="s">
        <v>44</v>
      </c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</row>
    <row r="324" spans="1:63" ht="30" customHeight="1">
      <c r="A324" s="51">
        <v>323</v>
      </c>
      <c r="B324" s="52" t="s">
        <v>35</v>
      </c>
      <c r="C324" s="51">
        <f t="shared" si="53"/>
        <v>2025</v>
      </c>
      <c r="D324" s="53">
        <v>45866</v>
      </c>
      <c r="E324" s="52" t="s">
        <v>501</v>
      </c>
      <c r="F324" s="51" t="s">
        <v>48</v>
      </c>
      <c r="G324" s="51" t="s">
        <v>119</v>
      </c>
      <c r="H324" s="51">
        <v>4</v>
      </c>
      <c r="I324" s="51">
        <v>4</v>
      </c>
      <c r="J324" s="51"/>
      <c r="K324" s="51" t="str">
        <f t="shared" si="52"/>
        <v>完结</v>
      </c>
      <c r="L324" s="51"/>
      <c r="M324" s="51"/>
      <c r="N324" s="51"/>
      <c r="O324" s="51"/>
      <c r="P324" s="51"/>
      <c r="Q324" s="51"/>
      <c r="R324" s="51"/>
      <c r="S324" s="51"/>
      <c r="T324" s="51"/>
      <c r="U324" s="59"/>
      <c r="V324" s="51"/>
      <c r="W324" s="51"/>
      <c r="X324" s="51"/>
      <c r="Y324" s="51"/>
      <c r="Z324" s="51"/>
      <c r="AA324" s="51"/>
      <c r="AB324" s="51"/>
      <c r="AC324" s="51"/>
      <c r="AD324" s="51"/>
      <c r="AE324" s="51" t="e">
        <f t="shared" si="54"/>
        <v>#N/A</v>
      </c>
      <c r="AF324" s="51" t="e">
        <f t="shared" si="55"/>
        <v>#N/A</v>
      </c>
      <c r="AG324" s="51" t="e">
        <f t="shared" si="56"/>
        <v>#N/A</v>
      </c>
      <c r="AH324" s="51" t="e">
        <f t="shared" si="57"/>
        <v>#N/A</v>
      </c>
      <c r="AI324" s="51"/>
      <c r="AJ324" s="51"/>
      <c r="AK324" s="51" t="s">
        <v>44</v>
      </c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</row>
    <row r="325" spans="1:63" ht="30" customHeight="1">
      <c r="A325" s="45">
        <v>324</v>
      </c>
      <c r="B325" s="46" t="s">
        <v>35</v>
      </c>
      <c r="C325" s="45">
        <f t="shared" si="53"/>
        <v>2025</v>
      </c>
      <c r="D325" s="47">
        <v>45872</v>
      </c>
      <c r="E325" s="46" t="s">
        <v>502</v>
      </c>
      <c r="F325" s="45" t="s">
        <v>48</v>
      </c>
      <c r="G325" s="45" t="s">
        <v>119</v>
      </c>
      <c r="H325" s="45">
        <v>4</v>
      </c>
      <c r="I325" s="45">
        <v>4</v>
      </c>
      <c r="J325" s="45"/>
      <c r="K325" s="45" t="str">
        <f t="shared" si="52"/>
        <v>完结</v>
      </c>
      <c r="L325" s="45"/>
      <c r="M325" s="45"/>
      <c r="N325" s="45"/>
      <c r="O325" s="45"/>
      <c r="P325" s="45"/>
      <c r="Q325" s="45"/>
      <c r="R325" s="45"/>
      <c r="S325" s="45"/>
      <c r="T325" s="45"/>
      <c r="U325" s="58"/>
      <c r="V325" s="45"/>
      <c r="W325" s="45"/>
      <c r="X325" s="45"/>
      <c r="Y325" s="45"/>
      <c r="Z325" s="45"/>
      <c r="AA325" s="45"/>
      <c r="AB325" s="45"/>
      <c r="AC325" s="45"/>
      <c r="AD325" s="45"/>
      <c r="AE325" s="45" t="e">
        <f t="shared" si="54"/>
        <v>#N/A</v>
      </c>
      <c r="AF325" s="45" t="e">
        <f t="shared" si="55"/>
        <v>#N/A</v>
      </c>
      <c r="AG325" s="45" t="e">
        <f t="shared" si="56"/>
        <v>#N/A</v>
      </c>
      <c r="AH325" s="45" t="e">
        <f t="shared" si="57"/>
        <v>#N/A</v>
      </c>
      <c r="AI325" s="45"/>
      <c r="AJ325" s="45"/>
      <c r="AK325" s="45" t="s">
        <v>44</v>
      </c>
      <c r="AL325" s="45"/>
      <c r="AM325" s="45"/>
      <c r="AN325" s="45"/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45"/>
      <c r="BE325" s="45"/>
      <c r="BF325" s="45"/>
      <c r="BG325" s="45"/>
      <c r="BH325" s="45"/>
      <c r="BI325" s="45"/>
      <c r="BJ325" s="45"/>
      <c r="BK325" s="45"/>
    </row>
    <row r="326" spans="1:63" ht="30" customHeight="1">
      <c r="A326" s="51">
        <v>325</v>
      </c>
      <c r="B326" s="52" t="s">
        <v>35</v>
      </c>
      <c r="C326" s="51">
        <f t="shared" si="53"/>
        <v>2025</v>
      </c>
      <c r="D326" s="53">
        <v>45905</v>
      </c>
      <c r="E326" s="52" t="s">
        <v>503</v>
      </c>
      <c r="F326" s="51" t="s">
        <v>48</v>
      </c>
      <c r="G326" s="51" t="s">
        <v>119</v>
      </c>
      <c r="H326" s="51">
        <v>3</v>
      </c>
      <c r="I326" s="51">
        <v>3</v>
      </c>
      <c r="J326" s="51"/>
      <c r="K326" s="51" t="str">
        <f t="shared" si="52"/>
        <v>完结</v>
      </c>
      <c r="L326" s="51"/>
      <c r="M326" s="51"/>
      <c r="N326" s="51"/>
      <c r="O326" s="51"/>
      <c r="P326" s="51"/>
      <c r="Q326" s="51"/>
      <c r="R326" s="51"/>
      <c r="S326" s="51"/>
      <c r="T326" s="51"/>
      <c r="U326" s="59"/>
      <c r="V326" s="51"/>
      <c r="W326" s="51"/>
      <c r="X326" s="51"/>
      <c r="Y326" s="51"/>
      <c r="Z326" s="51"/>
      <c r="AA326" s="51"/>
      <c r="AB326" s="51"/>
      <c r="AC326" s="51"/>
      <c r="AD326" s="51"/>
      <c r="AE326" s="51" t="e">
        <f t="shared" si="54"/>
        <v>#N/A</v>
      </c>
      <c r="AF326" s="51" t="e">
        <f t="shared" si="55"/>
        <v>#N/A</v>
      </c>
      <c r="AG326" s="51" t="e">
        <f t="shared" si="56"/>
        <v>#N/A</v>
      </c>
      <c r="AH326" s="51" t="e">
        <f t="shared" si="57"/>
        <v>#N/A</v>
      </c>
      <c r="AI326" s="51"/>
      <c r="AJ326" s="51"/>
      <c r="AK326" s="51" t="s">
        <v>44</v>
      </c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</row>
    <row r="327" spans="1:63" ht="30" customHeight="1">
      <c r="A327" s="48">
        <v>326</v>
      </c>
      <c r="B327" s="49" t="s">
        <v>35</v>
      </c>
      <c r="C327" s="48">
        <f t="shared" si="53"/>
        <v>2025</v>
      </c>
      <c r="D327" s="50">
        <v>45910</v>
      </c>
      <c r="E327" s="49" t="s">
        <v>504</v>
      </c>
      <c r="F327" s="48" t="s">
        <v>48</v>
      </c>
      <c r="G327" s="48" t="s">
        <v>119</v>
      </c>
      <c r="H327" s="48">
        <v>3</v>
      </c>
      <c r="I327" s="48">
        <v>3</v>
      </c>
      <c r="J327" s="48"/>
      <c r="K327" s="48" t="str">
        <f t="shared" si="52"/>
        <v>完结</v>
      </c>
      <c r="L327" s="48"/>
      <c r="M327" s="48"/>
      <c r="N327" s="48"/>
      <c r="O327" s="48"/>
      <c r="P327" s="48"/>
      <c r="Q327" s="48"/>
      <c r="R327" s="48"/>
      <c r="S327" s="48"/>
      <c r="T327" s="48"/>
      <c r="U327" s="59"/>
      <c r="V327" s="48"/>
      <c r="W327" s="48"/>
      <c r="X327" s="48"/>
      <c r="Y327" s="48"/>
      <c r="Z327" s="48"/>
      <c r="AA327" s="48"/>
      <c r="AB327" s="48"/>
      <c r="AC327" s="48"/>
      <c r="AD327" s="48"/>
      <c r="AE327" s="48" t="e">
        <f t="shared" si="54"/>
        <v>#N/A</v>
      </c>
      <c r="AF327" s="48" t="e">
        <f t="shared" si="55"/>
        <v>#N/A</v>
      </c>
      <c r="AG327" s="48" t="e">
        <f t="shared" si="56"/>
        <v>#N/A</v>
      </c>
      <c r="AH327" s="48" t="e">
        <f t="shared" si="57"/>
        <v>#N/A</v>
      </c>
      <c r="AI327" s="48"/>
      <c r="AJ327" s="48"/>
      <c r="AK327" s="48" t="s">
        <v>44</v>
      </c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</row>
    <row r="328" spans="1:63" ht="30" customHeight="1">
      <c r="A328" s="51">
        <v>327</v>
      </c>
      <c r="B328" s="52" t="s">
        <v>35</v>
      </c>
      <c r="C328" s="51">
        <f t="shared" si="53"/>
        <v>2025</v>
      </c>
      <c r="D328" s="53">
        <v>45911</v>
      </c>
      <c r="E328" s="52" t="s">
        <v>505</v>
      </c>
      <c r="F328" s="51" t="s">
        <v>48</v>
      </c>
      <c r="G328" s="51" t="s">
        <v>119</v>
      </c>
      <c r="H328" s="51">
        <v>3</v>
      </c>
      <c r="I328" s="51">
        <v>3</v>
      </c>
      <c r="J328" s="51"/>
      <c r="K328" s="51" t="str">
        <f t="shared" si="52"/>
        <v>完结</v>
      </c>
      <c r="L328" s="51"/>
      <c r="M328" s="51"/>
      <c r="N328" s="51"/>
      <c r="O328" s="51"/>
      <c r="P328" s="51"/>
      <c r="Q328" s="51"/>
      <c r="R328" s="51"/>
      <c r="S328" s="51"/>
      <c r="T328" s="51"/>
      <c r="U328" s="59"/>
      <c r="V328" s="51"/>
      <c r="W328" s="51"/>
      <c r="X328" s="51"/>
      <c r="Y328" s="51"/>
      <c r="Z328" s="51"/>
      <c r="AA328" s="51"/>
      <c r="AB328" s="51"/>
      <c r="AC328" s="51"/>
      <c r="AD328" s="51"/>
      <c r="AE328" s="51" t="e">
        <f t="shared" si="54"/>
        <v>#N/A</v>
      </c>
      <c r="AF328" s="51" t="e">
        <f t="shared" si="55"/>
        <v>#N/A</v>
      </c>
      <c r="AG328" s="51" t="e">
        <f t="shared" si="56"/>
        <v>#N/A</v>
      </c>
      <c r="AH328" s="51" t="e">
        <f t="shared" si="57"/>
        <v>#N/A</v>
      </c>
      <c r="AI328" s="51"/>
      <c r="AJ328" s="51"/>
      <c r="AK328" s="51" t="s">
        <v>44</v>
      </c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</row>
    <row r="329" spans="1:63" ht="30" customHeight="1">
      <c r="A329" s="54">
        <v>328</v>
      </c>
      <c r="B329" s="42" t="s">
        <v>35</v>
      </c>
      <c r="C329" s="54">
        <f t="shared" si="53"/>
        <v>2025</v>
      </c>
      <c r="D329" s="55">
        <v>45918</v>
      </c>
      <c r="E329" s="42" t="s">
        <v>506</v>
      </c>
      <c r="F329" s="54" t="s">
        <v>107</v>
      </c>
      <c r="G329" s="54" t="s">
        <v>193</v>
      </c>
      <c r="H329" s="54" t="s">
        <v>129</v>
      </c>
      <c r="I329" s="54">
        <v>2</v>
      </c>
      <c r="J329" s="54"/>
      <c r="K329" s="54" t="str">
        <f>IF(H329=I329,"完结",IF(H329&gt;I329,"下载中"))</f>
        <v>下载中</v>
      </c>
      <c r="L329" s="54"/>
      <c r="M329" s="54"/>
      <c r="N329" s="54"/>
      <c r="O329" s="54"/>
      <c r="P329" s="54"/>
      <c r="Q329" s="54"/>
      <c r="R329" s="54"/>
      <c r="S329" s="54"/>
      <c r="T329" s="54"/>
      <c r="U329" s="59"/>
      <c r="V329" s="54"/>
      <c r="W329" s="54"/>
      <c r="X329" s="54"/>
      <c r="Y329" s="54"/>
      <c r="Z329" s="54"/>
      <c r="AA329" s="54"/>
      <c r="AB329" s="54"/>
      <c r="AC329" s="54"/>
      <c r="AD329" s="54"/>
      <c r="AE329" s="54" t="e">
        <f t="shared" si="54"/>
        <v>#N/A</v>
      </c>
      <c r="AF329" s="54" t="e">
        <f t="shared" si="55"/>
        <v>#N/A</v>
      </c>
      <c r="AG329" s="54" t="e">
        <f t="shared" si="56"/>
        <v>#N/A</v>
      </c>
      <c r="AH329" s="54" t="e">
        <f t="shared" si="57"/>
        <v>#N/A</v>
      </c>
      <c r="AI329" s="54"/>
      <c r="AJ329" s="54"/>
      <c r="AK329" s="54" t="s">
        <v>44</v>
      </c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  <c r="AX329" s="54"/>
      <c r="AY329" s="54"/>
      <c r="AZ329" s="54"/>
      <c r="BA329" s="54"/>
      <c r="BB329" s="54"/>
      <c r="BC329" s="54"/>
      <c r="BD329" s="54"/>
      <c r="BE329" s="54"/>
      <c r="BF329" s="54"/>
      <c r="BG329" s="54"/>
      <c r="BH329" s="54"/>
      <c r="BI329" s="54"/>
      <c r="BJ329" s="54"/>
      <c r="BK329" s="54"/>
    </row>
    <row r="330" spans="1:63" ht="30" customHeight="1">
      <c r="A330" s="51">
        <v>329</v>
      </c>
      <c r="B330" s="52" t="s">
        <v>110</v>
      </c>
      <c r="C330" s="51">
        <f t="shared" si="53"/>
        <v>2025</v>
      </c>
      <c r="D330" s="53">
        <v>45919</v>
      </c>
      <c r="E330" s="52" t="s">
        <v>507</v>
      </c>
      <c r="F330" s="51" t="s">
        <v>48</v>
      </c>
      <c r="G330" s="51" t="s">
        <v>119</v>
      </c>
      <c r="H330" s="51">
        <v>4</v>
      </c>
      <c r="I330" s="51">
        <v>4</v>
      </c>
      <c r="J330" s="51"/>
      <c r="K330" s="51" t="str">
        <f t="shared" si="52"/>
        <v>完结</v>
      </c>
      <c r="L330" s="51"/>
      <c r="M330" s="51"/>
      <c r="N330" s="51"/>
      <c r="O330" s="51"/>
      <c r="P330" s="51"/>
      <c r="Q330" s="51"/>
      <c r="R330" s="51"/>
      <c r="S330" s="51"/>
      <c r="T330" s="51"/>
      <c r="U330" s="59"/>
      <c r="V330" s="51"/>
      <c r="W330" s="51"/>
      <c r="X330" s="51"/>
      <c r="Y330" s="51"/>
      <c r="Z330" s="51"/>
      <c r="AA330" s="51"/>
      <c r="AB330" s="51"/>
      <c r="AC330" s="51"/>
      <c r="AD330" s="51"/>
      <c r="AE330" s="51" t="e">
        <f t="shared" si="54"/>
        <v>#N/A</v>
      </c>
      <c r="AF330" s="51" t="e">
        <f t="shared" si="55"/>
        <v>#N/A</v>
      </c>
      <c r="AG330" s="51" t="e">
        <f t="shared" si="56"/>
        <v>#N/A</v>
      </c>
      <c r="AH330" s="51" t="e">
        <f t="shared" si="57"/>
        <v>#N/A</v>
      </c>
      <c r="AI330" s="51"/>
      <c r="AJ330" s="51"/>
      <c r="AK330" s="51" t="s">
        <v>44</v>
      </c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</row>
    <row r="331" spans="1:63" ht="30" customHeight="1">
      <c r="A331" s="45">
        <v>330</v>
      </c>
      <c r="B331" s="46" t="s">
        <v>35</v>
      </c>
      <c r="C331" s="45">
        <f t="shared" si="53"/>
        <v>2025</v>
      </c>
      <c r="D331" s="47">
        <v>45922</v>
      </c>
      <c r="E331" s="46" t="s">
        <v>508</v>
      </c>
      <c r="F331" s="45" t="s">
        <v>48</v>
      </c>
      <c r="G331" s="45" t="s">
        <v>193</v>
      </c>
      <c r="H331" s="45">
        <v>5</v>
      </c>
      <c r="I331" s="45">
        <v>5</v>
      </c>
      <c r="J331" s="45"/>
      <c r="K331" s="45" t="str">
        <f t="shared" si="52"/>
        <v>完结</v>
      </c>
      <c r="L331" s="45"/>
      <c r="M331" s="45"/>
      <c r="N331" s="45"/>
      <c r="O331" s="45"/>
      <c r="P331" s="45"/>
      <c r="Q331" s="45"/>
      <c r="R331" s="45"/>
      <c r="S331" s="45"/>
      <c r="T331" s="45"/>
      <c r="U331" s="58"/>
      <c r="V331" s="45"/>
      <c r="W331" s="45"/>
      <c r="X331" s="45"/>
      <c r="Y331" s="45"/>
      <c r="Z331" s="45"/>
      <c r="AA331" s="45"/>
      <c r="AB331" s="45"/>
      <c r="AC331" s="45"/>
      <c r="AD331" s="45"/>
      <c r="AE331" s="45" t="e">
        <f t="shared" si="54"/>
        <v>#N/A</v>
      </c>
      <c r="AF331" s="45" t="e">
        <f t="shared" si="55"/>
        <v>#N/A</v>
      </c>
      <c r="AG331" s="45" t="e">
        <f t="shared" si="56"/>
        <v>#N/A</v>
      </c>
      <c r="AH331" s="45" t="e">
        <f t="shared" si="57"/>
        <v>#N/A</v>
      </c>
      <c r="AI331" s="45"/>
      <c r="AJ331" s="45"/>
      <c r="AK331" s="45" t="s">
        <v>44</v>
      </c>
      <c r="AL331" s="45"/>
      <c r="AM331" s="45"/>
      <c r="AN331" s="45"/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45"/>
      <c r="BE331" s="45"/>
      <c r="BF331" s="45"/>
      <c r="BG331" s="45"/>
      <c r="BH331" s="45"/>
      <c r="BI331" s="45"/>
      <c r="BJ331" s="45"/>
      <c r="BK331" s="45"/>
    </row>
    <row r="332" spans="1:63" ht="30" customHeight="1">
      <c r="A332" s="51">
        <v>331</v>
      </c>
      <c r="B332" s="52" t="s">
        <v>110</v>
      </c>
      <c r="C332" s="51">
        <f t="shared" si="53"/>
        <v>2025</v>
      </c>
      <c r="D332" s="53">
        <v>45925</v>
      </c>
      <c r="E332" s="52" t="s">
        <v>509</v>
      </c>
      <c r="F332" s="51" t="s">
        <v>48</v>
      </c>
      <c r="G332" s="51" t="s">
        <v>119</v>
      </c>
      <c r="H332" s="51">
        <v>4</v>
      </c>
      <c r="I332" s="51">
        <v>4</v>
      </c>
      <c r="J332" s="51"/>
      <c r="K332" s="51" t="str">
        <f t="shared" si="52"/>
        <v>完结</v>
      </c>
      <c r="L332" s="51"/>
      <c r="M332" s="51"/>
      <c r="N332" s="51"/>
      <c r="O332" s="51"/>
      <c r="P332" s="51"/>
      <c r="Q332" s="51"/>
      <c r="R332" s="51"/>
      <c r="S332" s="51"/>
      <c r="T332" s="51"/>
      <c r="U332" s="59"/>
      <c r="V332" s="51"/>
      <c r="W332" s="51"/>
      <c r="X332" s="51"/>
      <c r="Y332" s="51"/>
      <c r="Z332" s="51"/>
      <c r="AA332" s="51"/>
      <c r="AB332" s="51"/>
      <c r="AC332" s="51"/>
      <c r="AD332" s="51"/>
      <c r="AE332" s="51" t="e">
        <f t="shared" si="54"/>
        <v>#N/A</v>
      </c>
      <c r="AF332" s="51" t="e">
        <f t="shared" si="55"/>
        <v>#N/A</v>
      </c>
      <c r="AG332" s="51" t="e">
        <f t="shared" si="56"/>
        <v>#N/A</v>
      </c>
      <c r="AH332" s="51" t="e">
        <f t="shared" si="57"/>
        <v>#N/A</v>
      </c>
      <c r="AI332" s="51"/>
      <c r="AJ332" s="51"/>
      <c r="AK332" s="51" t="s">
        <v>44</v>
      </c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</row>
    <row r="333" spans="1:63" ht="30" customHeight="1">
      <c r="A333" s="48">
        <v>332</v>
      </c>
      <c r="B333" s="49" t="s">
        <v>82</v>
      </c>
      <c r="C333" s="48">
        <f t="shared" si="53"/>
        <v>2025</v>
      </c>
      <c r="D333" s="50">
        <v>45929</v>
      </c>
      <c r="E333" s="49" t="s">
        <v>510</v>
      </c>
      <c r="F333" s="48" t="s">
        <v>48</v>
      </c>
      <c r="G333" s="48" t="s">
        <v>193</v>
      </c>
      <c r="H333" s="48">
        <v>4</v>
      </c>
      <c r="I333" s="48">
        <v>4</v>
      </c>
      <c r="J333" s="48"/>
      <c r="K333" s="48" t="str">
        <f t="shared" si="52"/>
        <v>完结</v>
      </c>
      <c r="L333" s="48"/>
      <c r="M333" s="48"/>
      <c r="N333" s="48"/>
      <c r="O333" s="48"/>
      <c r="P333" s="48"/>
      <c r="Q333" s="48"/>
      <c r="R333" s="48"/>
      <c r="S333" s="48"/>
      <c r="T333" s="48"/>
      <c r="U333" s="59"/>
      <c r="V333" s="48"/>
      <c r="W333" s="48"/>
      <c r="X333" s="48"/>
      <c r="Y333" s="48"/>
      <c r="Z333" s="48"/>
      <c r="AA333" s="48"/>
      <c r="AB333" s="48"/>
      <c r="AC333" s="48"/>
      <c r="AD333" s="48"/>
      <c r="AE333" s="48" t="e">
        <f t="shared" si="54"/>
        <v>#N/A</v>
      </c>
      <c r="AF333" s="48" t="e">
        <f t="shared" si="55"/>
        <v>#N/A</v>
      </c>
      <c r="AG333" s="48" t="e">
        <f t="shared" si="56"/>
        <v>#N/A</v>
      </c>
      <c r="AH333" s="48" t="e">
        <f t="shared" si="57"/>
        <v>#N/A</v>
      </c>
      <c r="AI333" s="48"/>
      <c r="AJ333" s="48"/>
      <c r="AK333" s="48" t="s">
        <v>427</v>
      </c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</row>
    <row r="334" spans="1:63" ht="30" customHeight="1">
      <c r="A334" s="51">
        <v>333</v>
      </c>
      <c r="B334" s="52" t="s">
        <v>170</v>
      </c>
      <c r="C334" s="51">
        <f t="shared" si="53"/>
        <v>2025</v>
      </c>
      <c r="D334" s="53">
        <v>45929</v>
      </c>
      <c r="E334" s="52" t="s">
        <v>511</v>
      </c>
      <c r="F334" s="51" t="s">
        <v>107</v>
      </c>
      <c r="G334" s="51" t="s">
        <v>57</v>
      </c>
      <c r="H334" s="51">
        <v>35</v>
      </c>
      <c r="I334" s="51">
        <v>1</v>
      </c>
      <c r="J334" s="51"/>
      <c r="K334" s="51" t="s">
        <v>140</v>
      </c>
      <c r="L334" s="51"/>
      <c r="M334" s="51"/>
      <c r="N334" s="51"/>
      <c r="O334" s="51"/>
      <c r="P334" s="51"/>
      <c r="Q334" s="51"/>
      <c r="R334" s="51"/>
      <c r="S334" s="51"/>
      <c r="T334" s="51"/>
      <c r="U334" s="59"/>
      <c r="V334" s="51"/>
      <c r="W334" s="51"/>
      <c r="X334" s="51"/>
      <c r="Y334" s="51"/>
      <c r="Z334" s="51"/>
      <c r="AA334" s="51"/>
      <c r="AB334" s="51"/>
      <c r="AC334" s="51"/>
      <c r="AD334" s="51"/>
      <c r="AE334" s="51" t="e">
        <f t="shared" si="54"/>
        <v>#N/A</v>
      </c>
      <c r="AF334" s="51" t="e">
        <f t="shared" si="55"/>
        <v>#N/A</v>
      </c>
      <c r="AG334" s="51" t="e">
        <f t="shared" si="56"/>
        <v>#N/A</v>
      </c>
      <c r="AH334" s="51" t="e">
        <f t="shared" si="57"/>
        <v>#N/A</v>
      </c>
      <c r="AI334" s="51"/>
      <c r="AJ334" s="51"/>
      <c r="AK334" s="51" t="s">
        <v>143</v>
      </c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</row>
    <row r="335" spans="1:63" ht="30" customHeight="1">
      <c r="A335" s="54">
        <v>334</v>
      </c>
      <c r="B335" s="42" t="s">
        <v>35</v>
      </c>
      <c r="C335" s="54">
        <v>2025</v>
      </c>
      <c r="D335" s="55"/>
      <c r="E335" s="42" t="s">
        <v>512</v>
      </c>
      <c r="F335" s="54" t="s">
        <v>48</v>
      </c>
      <c r="G335" s="54" t="s">
        <v>119</v>
      </c>
      <c r="H335" s="54">
        <v>6</v>
      </c>
      <c r="I335" s="54">
        <v>0</v>
      </c>
      <c r="J335" s="54"/>
      <c r="K335" s="54" t="s">
        <v>4</v>
      </c>
      <c r="L335" s="54"/>
      <c r="M335" s="54"/>
      <c r="N335" s="54"/>
      <c r="O335" s="54"/>
      <c r="P335" s="54"/>
      <c r="Q335" s="54"/>
      <c r="R335" s="54"/>
      <c r="S335" s="54"/>
      <c r="T335" s="54"/>
      <c r="U335" s="59"/>
      <c r="V335" s="54"/>
      <c r="W335" s="54"/>
      <c r="X335" s="54"/>
      <c r="Y335" s="54"/>
      <c r="Z335" s="54"/>
      <c r="AA335" s="54"/>
      <c r="AB335" s="54"/>
      <c r="AC335" s="54"/>
      <c r="AD335" s="54"/>
      <c r="AE335" s="54" t="e">
        <f t="shared" si="54"/>
        <v>#N/A</v>
      </c>
      <c r="AF335" s="54" t="e">
        <f t="shared" si="55"/>
        <v>#N/A</v>
      </c>
      <c r="AG335" s="54" t="e">
        <f t="shared" si="56"/>
        <v>#N/A</v>
      </c>
      <c r="AH335" s="54" t="e">
        <f t="shared" si="57"/>
        <v>#N/A</v>
      </c>
      <c r="AI335" s="54"/>
      <c r="AJ335" s="54"/>
      <c r="AK335" s="54" t="s">
        <v>44</v>
      </c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  <c r="AX335" s="54"/>
      <c r="AY335" s="54"/>
      <c r="AZ335" s="54"/>
      <c r="BA335" s="54"/>
      <c r="BB335" s="54"/>
      <c r="BC335" s="54"/>
      <c r="BD335" s="54"/>
      <c r="BE335" s="54"/>
      <c r="BF335" s="54"/>
      <c r="BG335" s="54"/>
      <c r="BH335" s="54"/>
      <c r="BI335" s="54"/>
      <c r="BJ335" s="54"/>
      <c r="BK335" s="54"/>
    </row>
    <row r="336" spans="1:63" ht="30" customHeight="1">
      <c r="A336" s="51">
        <v>335</v>
      </c>
      <c r="B336" s="52" t="s">
        <v>35</v>
      </c>
      <c r="C336" s="51">
        <v>2025</v>
      </c>
      <c r="D336" s="53"/>
      <c r="E336" s="52" t="s">
        <v>513</v>
      </c>
      <c r="F336" s="51" t="s">
        <v>48</v>
      </c>
      <c r="G336" s="51" t="s">
        <v>119</v>
      </c>
      <c r="H336" s="51">
        <v>5</v>
      </c>
      <c r="I336" s="51">
        <v>0</v>
      </c>
      <c r="J336" s="51"/>
      <c r="K336" s="51" t="s">
        <v>4</v>
      </c>
      <c r="L336" s="51"/>
      <c r="M336" s="51"/>
      <c r="N336" s="51"/>
      <c r="O336" s="51"/>
      <c r="P336" s="51"/>
      <c r="Q336" s="51"/>
      <c r="R336" s="51"/>
      <c r="S336" s="51"/>
      <c r="T336" s="51"/>
      <c r="U336" s="59"/>
      <c r="V336" s="51"/>
      <c r="W336" s="51"/>
      <c r="X336" s="51"/>
      <c r="Y336" s="51"/>
      <c r="Z336" s="51"/>
      <c r="AA336" s="51"/>
      <c r="AB336" s="51"/>
      <c r="AC336" s="51"/>
      <c r="AD336" s="51"/>
      <c r="AE336" s="51" t="e">
        <f t="shared" si="54"/>
        <v>#N/A</v>
      </c>
      <c r="AF336" s="51" t="e">
        <f t="shared" si="55"/>
        <v>#N/A</v>
      </c>
      <c r="AG336" s="51" t="e">
        <f t="shared" si="56"/>
        <v>#N/A</v>
      </c>
      <c r="AH336" s="51" t="e">
        <f t="shared" si="57"/>
        <v>#N/A</v>
      </c>
      <c r="AI336" s="51"/>
      <c r="AJ336" s="51"/>
      <c r="AK336" s="51" t="s">
        <v>44</v>
      </c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</row>
    <row r="337" spans="1:63" ht="30" customHeight="1">
      <c r="A337" s="45">
        <v>336</v>
      </c>
      <c r="B337" s="46" t="s">
        <v>77</v>
      </c>
      <c r="C337" s="45">
        <v>2025</v>
      </c>
      <c r="D337" s="47"/>
      <c r="E337" s="46" t="s">
        <v>514</v>
      </c>
      <c r="F337" s="45" t="s">
        <v>48</v>
      </c>
      <c r="G337" s="45" t="s">
        <v>119</v>
      </c>
      <c r="H337" s="45">
        <v>5</v>
      </c>
      <c r="I337" s="45">
        <v>0</v>
      </c>
      <c r="J337" s="45"/>
      <c r="K337" s="45" t="s">
        <v>4</v>
      </c>
      <c r="L337" s="45"/>
      <c r="M337" s="45"/>
      <c r="N337" s="45"/>
      <c r="O337" s="45"/>
      <c r="P337" s="45"/>
      <c r="Q337" s="45"/>
      <c r="R337" s="45"/>
      <c r="S337" s="45"/>
      <c r="T337" s="45"/>
      <c r="U337" s="58"/>
      <c r="V337" s="45"/>
      <c r="W337" s="45"/>
      <c r="X337" s="45"/>
      <c r="Y337" s="45"/>
      <c r="Z337" s="45"/>
      <c r="AA337" s="45"/>
      <c r="AB337" s="45"/>
      <c r="AC337" s="45"/>
      <c r="AD337" s="45"/>
      <c r="AE337" s="45" t="e">
        <f t="shared" si="54"/>
        <v>#N/A</v>
      </c>
      <c r="AF337" s="45" t="e">
        <f t="shared" si="55"/>
        <v>#N/A</v>
      </c>
      <c r="AG337" s="45" t="e">
        <f t="shared" si="56"/>
        <v>#N/A</v>
      </c>
      <c r="AH337" s="45" t="e">
        <f t="shared" si="57"/>
        <v>#N/A</v>
      </c>
      <c r="AI337" s="45"/>
      <c r="AJ337" s="45"/>
      <c r="AK337" s="45" t="s">
        <v>44</v>
      </c>
      <c r="AL337" s="45"/>
      <c r="AM337" s="45"/>
      <c r="AN337" s="45"/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45"/>
      <c r="BE337" s="45"/>
      <c r="BF337" s="45"/>
      <c r="BG337" s="45"/>
      <c r="BH337" s="45"/>
      <c r="BI337" s="45"/>
      <c r="BJ337" s="45"/>
      <c r="BK337" s="45"/>
    </row>
    <row r="338" spans="1:63" ht="30" customHeight="1">
      <c r="A338" s="51">
        <v>337</v>
      </c>
      <c r="B338" s="52" t="s">
        <v>35</v>
      </c>
      <c r="C338" s="51">
        <v>2025</v>
      </c>
      <c r="D338" s="53"/>
      <c r="E338" s="52" t="s">
        <v>515</v>
      </c>
      <c r="F338" s="51" t="s">
        <v>48</v>
      </c>
      <c r="G338" s="51" t="s">
        <v>119</v>
      </c>
      <c r="H338" s="51">
        <v>4</v>
      </c>
      <c r="I338" s="51">
        <v>0</v>
      </c>
      <c r="J338" s="51"/>
      <c r="K338" s="51" t="s">
        <v>4</v>
      </c>
      <c r="L338" s="51"/>
      <c r="M338" s="51"/>
      <c r="N338" s="51"/>
      <c r="O338" s="51"/>
      <c r="P338" s="51"/>
      <c r="Q338" s="51"/>
      <c r="R338" s="51"/>
      <c r="S338" s="51"/>
      <c r="T338" s="51"/>
      <c r="U338" s="59"/>
      <c r="V338" s="51"/>
      <c r="W338" s="51"/>
      <c r="X338" s="51"/>
      <c r="Y338" s="51"/>
      <c r="Z338" s="51"/>
      <c r="AA338" s="51"/>
      <c r="AB338" s="51"/>
      <c r="AC338" s="51"/>
      <c r="AD338" s="51"/>
      <c r="AE338" s="51" t="e">
        <f t="shared" si="54"/>
        <v>#N/A</v>
      </c>
      <c r="AF338" s="51" t="e">
        <f t="shared" si="55"/>
        <v>#N/A</v>
      </c>
      <c r="AG338" s="51" t="e">
        <f t="shared" si="56"/>
        <v>#N/A</v>
      </c>
      <c r="AH338" s="51" t="e">
        <f t="shared" si="57"/>
        <v>#N/A</v>
      </c>
      <c r="AI338" s="51"/>
      <c r="AJ338" s="51"/>
      <c r="AK338" s="51" t="s">
        <v>44</v>
      </c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</row>
    <row r="339" spans="1:63" ht="30" customHeight="1">
      <c r="A339" s="48">
        <v>338</v>
      </c>
      <c r="B339" s="49" t="s">
        <v>35</v>
      </c>
      <c r="C339" s="48">
        <v>2025</v>
      </c>
      <c r="D339" s="50"/>
      <c r="E339" s="49" t="s">
        <v>516</v>
      </c>
      <c r="F339" s="48" t="s">
        <v>48</v>
      </c>
      <c r="G339" s="48" t="s">
        <v>119</v>
      </c>
      <c r="H339" s="48">
        <v>4</v>
      </c>
      <c r="I339" s="48">
        <v>0</v>
      </c>
      <c r="J339" s="48"/>
      <c r="K339" s="48" t="s">
        <v>4</v>
      </c>
      <c r="L339" s="48"/>
      <c r="M339" s="48"/>
      <c r="N339" s="48"/>
      <c r="O339" s="48"/>
      <c r="P339" s="48"/>
      <c r="Q339" s="48"/>
      <c r="R339" s="48"/>
      <c r="S339" s="48"/>
      <c r="T339" s="48"/>
      <c r="U339" s="59"/>
      <c r="V339" s="48"/>
      <c r="W339" s="48"/>
      <c r="X339" s="48"/>
      <c r="Y339" s="48"/>
      <c r="Z339" s="48"/>
      <c r="AA339" s="48"/>
      <c r="AB339" s="48"/>
      <c r="AC339" s="48"/>
      <c r="AD339" s="48"/>
      <c r="AE339" s="48" t="e">
        <f t="shared" si="54"/>
        <v>#N/A</v>
      </c>
      <c r="AF339" s="48" t="e">
        <f t="shared" si="55"/>
        <v>#N/A</v>
      </c>
      <c r="AG339" s="48" t="e">
        <f t="shared" si="56"/>
        <v>#N/A</v>
      </c>
      <c r="AH339" s="48" t="e">
        <f t="shared" si="57"/>
        <v>#N/A</v>
      </c>
      <c r="AI339" s="48"/>
      <c r="AJ339" s="48"/>
      <c r="AK339" s="48" t="s">
        <v>44</v>
      </c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</row>
    <row r="340" spans="1:63" ht="30" customHeight="1">
      <c r="A340" s="51">
        <v>339</v>
      </c>
      <c r="B340" s="52" t="s">
        <v>110</v>
      </c>
      <c r="C340" s="51">
        <v>2025</v>
      </c>
      <c r="D340" s="53"/>
      <c r="E340" s="52" t="s">
        <v>517</v>
      </c>
      <c r="F340" s="51" t="s">
        <v>48</v>
      </c>
      <c r="G340" s="51" t="s">
        <v>119</v>
      </c>
      <c r="H340" s="51">
        <v>5</v>
      </c>
      <c r="I340" s="51">
        <v>0</v>
      </c>
      <c r="J340" s="51"/>
      <c r="K340" s="51" t="s">
        <v>4</v>
      </c>
      <c r="L340" s="51"/>
      <c r="M340" s="51"/>
      <c r="N340" s="51"/>
      <c r="O340" s="51"/>
      <c r="P340" s="51"/>
      <c r="Q340" s="51"/>
      <c r="R340" s="51"/>
      <c r="S340" s="51"/>
      <c r="T340" s="51"/>
      <c r="U340" s="59"/>
      <c r="V340" s="51"/>
      <c r="W340" s="51"/>
      <c r="X340" s="51"/>
      <c r="Y340" s="51"/>
      <c r="Z340" s="51"/>
      <c r="AA340" s="51"/>
      <c r="AB340" s="51"/>
      <c r="AC340" s="51"/>
      <c r="AD340" s="51"/>
      <c r="AE340" s="51" t="e">
        <f t="shared" si="54"/>
        <v>#N/A</v>
      </c>
      <c r="AF340" s="51" t="e">
        <f t="shared" si="55"/>
        <v>#N/A</v>
      </c>
      <c r="AG340" s="51" t="e">
        <f t="shared" si="56"/>
        <v>#N/A</v>
      </c>
      <c r="AH340" s="51" t="e">
        <f t="shared" si="57"/>
        <v>#N/A</v>
      </c>
      <c r="AI340" s="51"/>
      <c r="AJ340" s="51"/>
      <c r="AK340" s="51" t="s">
        <v>44</v>
      </c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</row>
    <row r="341" spans="1:63" ht="30" customHeight="1">
      <c r="A341" s="54">
        <v>340</v>
      </c>
      <c r="B341" s="42" t="s">
        <v>35</v>
      </c>
      <c r="C341" s="54">
        <v>2025</v>
      </c>
      <c r="D341" s="55"/>
      <c r="E341" s="42" t="s">
        <v>518</v>
      </c>
      <c r="F341" s="54" t="s">
        <v>48</v>
      </c>
      <c r="G341" s="54" t="s">
        <v>119</v>
      </c>
      <c r="H341" s="54">
        <v>4</v>
      </c>
      <c r="I341" s="54">
        <v>0</v>
      </c>
      <c r="J341" s="54"/>
      <c r="K341" s="54" t="s">
        <v>4</v>
      </c>
      <c r="L341" s="54"/>
      <c r="M341" s="54"/>
      <c r="N341" s="54"/>
      <c r="O341" s="54"/>
      <c r="P341" s="54"/>
      <c r="Q341" s="54"/>
      <c r="R341" s="54"/>
      <c r="S341" s="54"/>
      <c r="T341" s="54"/>
      <c r="U341" s="59"/>
      <c r="V341" s="54"/>
      <c r="W341" s="54"/>
      <c r="X341" s="54"/>
      <c r="Y341" s="54"/>
      <c r="Z341" s="54"/>
      <c r="AA341" s="54"/>
      <c r="AB341" s="54"/>
      <c r="AC341" s="54"/>
      <c r="AD341" s="54"/>
      <c r="AE341" s="54" t="e">
        <f t="shared" si="54"/>
        <v>#N/A</v>
      </c>
      <c r="AF341" s="54" t="e">
        <f t="shared" si="55"/>
        <v>#N/A</v>
      </c>
      <c r="AG341" s="54" t="e">
        <f t="shared" si="56"/>
        <v>#N/A</v>
      </c>
      <c r="AH341" s="54" t="e">
        <f t="shared" si="57"/>
        <v>#N/A</v>
      </c>
      <c r="AI341" s="54"/>
      <c r="AJ341" s="54"/>
      <c r="AK341" s="54" t="s">
        <v>44</v>
      </c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  <c r="AX341" s="54"/>
      <c r="AY341" s="54"/>
      <c r="AZ341" s="54"/>
      <c r="BA341" s="54"/>
      <c r="BB341" s="54"/>
      <c r="BC341" s="54"/>
      <c r="BD341" s="54"/>
      <c r="BE341" s="54"/>
      <c r="BF341" s="54"/>
      <c r="BG341" s="54"/>
      <c r="BH341" s="54"/>
      <c r="BI341" s="54"/>
      <c r="BJ341" s="54"/>
      <c r="BK341" s="54"/>
    </row>
    <row r="342" spans="1:63" ht="30" customHeight="1">
      <c r="A342" s="51">
        <v>341</v>
      </c>
      <c r="B342" s="52" t="s">
        <v>35</v>
      </c>
      <c r="C342" s="51">
        <v>2025</v>
      </c>
      <c r="D342" s="53"/>
      <c r="E342" s="52" t="s">
        <v>519</v>
      </c>
      <c r="F342" s="51" t="s">
        <v>48</v>
      </c>
      <c r="G342" s="51" t="s">
        <v>119</v>
      </c>
      <c r="H342" s="51">
        <v>6</v>
      </c>
      <c r="I342" s="51">
        <v>0</v>
      </c>
      <c r="J342" s="51"/>
      <c r="K342" s="51" t="s">
        <v>4</v>
      </c>
      <c r="L342" s="51"/>
      <c r="M342" s="51"/>
      <c r="N342" s="51"/>
      <c r="O342" s="51"/>
      <c r="P342" s="51"/>
      <c r="Q342" s="51"/>
      <c r="R342" s="51"/>
      <c r="S342" s="51"/>
      <c r="T342" s="51"/>
      <c r="U342" s="59"/>
      <c r="V342" s="51"/>
      <c r="W342" s="51"/>
      <c r="X342" s="51"/>
      <c r="Y342" s="51"/>
      <c r="Z342" s="51"/>
      <c r="AA342" s="51"/>
      <c r="AB342" s="51"/>
      <c r="AC342" s="51"/>
      <c r="AD342" s="51"/>
      <c r="AE342" s="51" t="e">
        <f t="shared" si="54"/>
        <v>#N/A</v>
      </c>
      <c r="AF342" s="51" t="e">
        <f t="shared" si="55"/>
        <v>#N/A</v>
      </c>
      <c r="AG342" s="51" t="e">
        <f t="shared" si="56"/>
        <v>#N/A</v>
      </c>
      <c r="AH342" s="51" t="e">
        <f t="shared" si="57"/>
        <v>#N/A</v>
      </c>
      <c r="AI342" s="51"/>
      <c r="AJ342" s="51"/>
      <c r="AK342" s="51" t="s">
        <v>44</v>
      </c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</row>
    <row r="343" spans="1:63" ht="30" customHeight="1">
      <c r="A343" s="45">
        <v>342</v>
      </c>
      <c r="B343" s="46" t="s">
        <v>35</v>
      </c>
      <c r="C343" s="45">
        <v>2025</v>
      </c>
      <c r="D343" s="47"/>
      <c r="E343" s="46" t="s">
        <v>520</v>
      </c>
      <c r="F343" s="45" t="s">
        <v>48</v>
      </c>
      <c r="G343" s="45" t="s">
        <v>119</v>
      </c>
      <c r="H343" s="45">
        <v>5</v>
      </c>
      <c r="I343" s="45">
        <v>0</v>
      </c>
      <c r="J343" s="45"/>
      <c r="K343" s="45" t="s">
        <v>4</v>
      </c>
      <c r="L343" s="45"/>
      <c r="M343" s="45"/>
      <c r="N343" s="45"/>
      <c r="O343" s="45"/>
      <c r="P343" s="45"/>
      <c r="Q343" s="45"/>
      <c r="R343" s="45"/>
      <c r="S343" s="45"/>
      <c r="T343" s="45"/>
      <c r="U343" s="58"/>
      <c r="V343" s="45"/>
      <c r="W343" s="45"/>
      <c r="X343" s="45"/>
      <c r="Y343" s="45"/>
      <c r="Z343" s="45"/>
      <c r="AA343" s="45"/>
      <c r="AB343" s="45"/>
      <c r="AC343" s="45"/>
      <c r="AD343" s="45"/>
      <c r="AE343" s="45" t="e">
        <f t="shared" si="54"/>
        <v>#N/A</v>
      </c>
      <c r="AF343" s="45" t="e">
        <f t="shared" si="55"/>
        <v>#N/A</v>
      </c>
      <c r="AG343" s="45" t="e">
        <f t="shared" si="56"/>
        <v>#N/A</v>
      </c>
      <c r="AH343" s="45" t="e">
        <f t="shared" si="57"/>
        <v>#N/A</v>
      </c>
      <c r="AI343" s="45"/>
      <c r="AJ343" s="45"/>
      <c r="AK343" s="45" t="s">
        <v>44</v>
      </c>
      <c r="AL343" s="45"/>
      <c r="AM343" s="45"/>
      <c r="AN343" s="45"/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45"/>
      <c r="BE343" s="45"/>
      <c r="BF343" s="45"/>
      <c r="BG343" s="45"/>
      <c r="BH343" s="45"/>
      <c r="BI343" s="45"/>
      <c r="BJ343" s="45"/>
      <c r="BK343" s="45"/>
    </row>
    <row r="344" spans="1:63" ht="30" customHeight="1">
      <c r="A344" s="51">
        <v>343</v>
      </c>
      <c r="B344" s="52" t="s">
        <v>35</v>
      </c>
      <c r="C344" s="51">
        <v>2025</v>
      </c>
      <c r="D344" s="53"/>
      <c r="E344" s="52" t="s">
        <v>521</v>
      </c>
      <c r="F344" s="51" t="s">
        <v>48</v>
      </c>
      <c r="G344" s="51" t="s">
        <v>119</v>
      </c>
      <c r="H344" s="51">
        <v>4</v>
      </c>
      <c r="I344" s="51">
        <v>0</v>
      </c>
      <c r="J344" s="51"/>
      <c r="K344" s="51" t="s">
        <v>4</v>
      </c>
      <c r="L344" s="51"/>
      <c r="M344" s="51"/>
      <c r="N344" s="51"/>
      <c r="O344" s="51"/>
      <c r="P344" s="51"/>
      <c r="Q344" s="51"/>
      <c r="R344" s="51"/>
      <c r="S344" s="51"/>
      <c r="T344" s="51"/>
      <c r="U344" s="59"/>
      <c r="V344" s="51"/>
      <c r="W344" s="51"/>
      <c r="X344" s="51"/>
      <c r="Y344" s="51"/>
      <c r="Z344" s="51"/>
      <c r="AA344" s="51"/>
      <c r="AB344" s="51"/>
      <c r="AC344" s="51"/>
      <c r="AD344" s="51"/>
      <c r="AE344" s="51" t="e">
        <f t="shared" si="54"/>
        <v>#N/A</v>
      </c>
      <c r="AF344" s="51" t="e">
        <f t="shared" si="55"/>
        <v>#N/A</v>
      </c>
      <c r="AG344" s="51" t="e">
        <f t="shared" si="56"/>
        <v>#N/A</v>
      </c>
      <c r="AH344" s="51" t="e">
        <f t="shared" si="57"/>
        <v>#N/A</v>
      </c>
      <c r="AI344" s="51"/>
      <c r="AJ344" s="51"/>
      <c r="AK344" s="51" t="s">
        <v>44</v>
      </c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</row>
    <row r="345" spans="1:63" ht="30" customHeight="1">
      <c r="A345" s="48">
        <v>344</v>
      </c>
      <c r="B345" s="49" t="s">
        <v>135</v>
      </c>
      <c r="C345" s="48">
        <v>2025</v>
      </c>
      <c r="D345" s="50"/>
      <c r="E345" s="49" t="s">
        <v>522</v>
      </c>
      <c r="F345" s="48" t="s">
        <v>48</v>
      </c>
      <c r="G345" s="48" t="s">
        <v>119</v>
      </c>
      <c r="H345" s="48">
        <v>5</v>
      </c>
      <c r="I345" s="48">
        <v>0</v>
      </c>
      <c r="J345" s="48"/>
      <c r="K345" s="48" t="s">
        <v>4</v>
      </c>
      <c r="L345" s="48"/>
      <c r="M345" s="48"/>
      <c r="N345" s="48"/>
      <c r="O345" s="48"/>
      <c r="P345" s="48"/>
      <c r="Q345" s="48"/>
      <c r="R345" s="48"/>
      <c r="S345" s="48"/>
      <c r="T345" s="48"/>
      <c r="U345" s="59"/>
      <c r="V345" s="48"/>
      <c r="W345" s="48"/>
      <c r="X345" s="48"/>
      <c r="Y345" s="48"/>
      <c r="Z345" s="48"/>
      <c r="AA345" s="48"/>
      <c r="AB345" s="48"/>
      <c r="AC345" s="48"/>
      <c r="AD345" s="48"/>
      <c r="AE345" s="48" t="e">
        <f t="shared" si="54"/>
        <v>#N/A</v>
      </c>
      <c r="AF345" s="48" t="e">
        <f t="shared" si="55"/>
        <v>#N/A</v>
      </c>
      <c r="AG345" s="48" t="e">
        <f t="shared" si="56"/>
        <v>#N/A</v>
      </c>
      <c r="AH345" s="48" t="e">
        <f t="shared" si="57"/>
        <v>#N/A</v>
      </c>
      <c r="AI345" s="48"/>
      <c r="AJ345" s="48"/>
      <c r="AK345" s="48" t="s">
        <v>276</v>
      </c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</row>
    <row r="346" spans="1:63" ht="30" customHeight="1">
      <c r="A346" s="51">
        <v>345</v>
      </c>
      <c r="B346" s="52" t="s">
        <v>35</v>
      </c>
      <c r="C346" s="51">
        <v>2025</v>
      </c>
      <c r="D346" s="53"/>
      <c r="E346" s="52" t="s">
        <v>523</v>
      </c>
      <c r="F346" s="51" t="s">
        <v>48</v>
      </c>
      <c r="G346" s="51" t="s">
        <v>119</v>
      </c>
      <c r="H346" s="51">
        <v>6</v>
      </c>
      <c r="I346" s="51">
        <v>0</v>
      </c>
      <c r="J346" s="51"/>
      <c r="K346" s="51" t="s">
        <v>4</v>
      </c>
      <c r="L346" s="51"/>
      <c r="M346" s="51"/>
      <c r="N346" s="51"/>
      <c r="O346" s="51"/>
      <c r="P346" s="51"/>
      <c r="Q346" s="51"/>
      <c r="R346" s="51"/>
      <c r="S346" s="51"/>
      <c r="T346" s="51"/>
      <c r="U346" s="59"/>
      <c r="V346" s="51"/>
      <c r="W346" s="51"/>
      <c r="X346" s="51"/>
      <c r="Y346" s="51"/>
      <c r="Z346" s="51"/>
      <c r="AA346" s="51"/>
      <c r="AB346" s="51"/>
      <c r="AC346" s="51"/>
      <c r="AD346" s="51"/>
      <c r="AE346" s="51" t="e">
        <f t="shared" si="54"/>
        <v>#N/A</v>
      </c>
      <c r="AF346" s="51" t="e">
        <f t="shared" si="55"/>
        <v>#N/A</v>
      </c>
      <c r="AG346" s="51" t="e">
        <f t="shared" si="56"/>
        <v>#N/A</v>
      </c>
      <c r="AH346" s="51" t="e">
        <f t="shared" si="57"/>
        <v>#N/A</v>
      </c>
      <c r="AI346" s="51"/>
      <c r="AJ346" s="51"/>
      <c r="AK346" s="51" t="s">
        <v>276</v>
      </c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</row>
    <row r="347" spans="1:63" ht="30" customHeight="1">
      <c r="A347" s="54">
        <v>346</v>
      </c>
      <c r="B347" s="42" t="s">
        <v>35</v>
      </c>
      <c r="C347" s="54">
        <v>2025</v>
      </c>
      <c r="D347" s="55"/>
      <c r="E347" s="42" t="s">
        <v>524</v>
      </c>
      <c r="F347" s="54" t="s">
        <v>48</v>
      </c>
      <c r="G347" s="54" t="s">
        <v>119</v>
      </c>
      <c r="H347" s="54">
        <v>6</v>
      </c>
      <c r="I347" s="54">
        <v>0</v>
      </c>
      <c r="J347" s="54"/>
      <c r="K347" s="54" t="s">
        <v>4</v>
      </c>
      <c r="L347" s="54"/>
      <c r="M347" s="54"/>
      <c r="N347" s="54"/>
      <c r="O347" s="54"/>
      <c r="P347" s="54"/>
      <c r="Q347" s="54"/>
      <c r="R347" s="54"/>
      <c r="S347" s="54"/>
      <c r="T347" s="54"/>
      <c r="U347" s="59"/>
      <c r="V347" s="54"/>
      <c r="W347" s="54"/>
      <c r="X347" s="54"/>
      <c r="Y347" s="54"/>
      <c r="Z347" s="54"/>
      <c r="AA347" s="54"/>
      <c r="AB347" s="54"/>
      <c r="AC347" s="54"/>
      <c r="AD347" s="54"/>
      <c r="AE347" s="54" t="e">
        <f t="shared" si="54"/>
        <v>#N/A</v>
      </c>
      <c r="AF347" s="54" t="e">
        <f t="shared" si="55"/>
        <v>#N/A</v>
      </c>
      <c r="AG347" s="54" t="e">
        <f t="shared" si="56"/>
        <v>#N/A</v>
      </c>
      <c r="AH347" s="54" t="e">
        <f t="shared" si="57"/>
        <v>#N/A</v>
      </c>
      <c r="AI347" s="54"/>
      <c r="AJ347" s="54"/>
      <c r="AK347" s="54" t="s">
        <v>276</v>
      </c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  <c r="AX347" s="54"/>
      <c r="AY347" s="54"/>
      <c r="AZ347" s="54"/>
      <c r="BA347" s="54"/>
      <c r="BB347" s="54"/>
      <c r="BC347" s="54"/>
      <c r="BD347" s="54"/>
      <c r="BE347" s="54"/>
      <c r="BF347" s="54"/>
      <c r="BG347" s="54"/>
      <c r="BH347" s="54"/>
      <c r="BI347" s="54"/>
      <c r="BJ347" s="54"/>
      <c r="BK347" s="54"/>
    </row>
    <row r="348" spans="1:63" ht="30" customHeight="1">
      <c r="A348" s="51">
        <v>347</v>
      </c>
      <c r="B348" s="52" t="s">
        <v>110</v>
      </c>
      <c r="C348" s="51">
        <v>2025</v>
      </c>
      <c r="D348" s="53"/>
      <c r="E348" s="52" t="s">
        <v>525</v>
      </c>
      <c r="F348" s="51" t="s">
        <v>48</v>
      </c>
      <c r="G348" s="51" t="s">
        <v>119</v>
      </c>
      <c r="H348" s="51">
        <v>6</v>
      </c>
      <c r="I348" s="51">
        <v>0</v>
      </c>
      <c r="J348" s="51"/>
      <c r="K348" s="51" t="s">
        <v>4</v>
      </c>
      <c r="L348" s="51"/>
      <c r="M348" s="51"/>
      <c r="N348" s="51"/>
      <c r="O348" s="51"/>
      <c r="P348" s="51"/>
      <c r="Q348" s="51"/>
      <c r="R348" s="51"/>
      <c r="S348" s="51"/>
      <c r="T348" s="51"/>
      <c r="U348" s="59"/>
      <c r="V348" s="51"/>
      <c r="W348" s="51"/>
      <c r="X348" s="51"/>
      <c r="Y348" s="51"/>
      <c r="Z348" s="51"/>
      <c r="AA348" s="51"/>
      <c r="AB348" s="51"/>
      <c r="AC348" s="51"/>
      <c r="AD348" s="51"/>
      <c r="AE348" s="51" t="e">
        <f t="shared" si="54"/>
        <v>#N/A</v>
      </c>
      <c r="AF348" s="51" t="e">
        <f t="shared" si="55"/>
        <v>#N/A</v>
      </c>
      <c r="AG348" s="51" t="e">
        <f t="shared" si="56"/>
        <v>#N/A</v>
      </c>
      <c r="AH348" s="51" t="e">
        <f t="shared" si="57"/>
        <v>#N/A</v>
      </c>
      <c r="AI348" s="51"/>
      <c r="AJ348" s="51"/>
      <c r="AK348" s="51" t="s">
        <v>276</v>
      </c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</row>
    <row r="349" spans="1:63" ht="30" customHeight="1">
      <c r="A349" s="45">
        <v>348</v>
      </c>
      <c r="B349" s="46" t="s">
        <v>124</v>
      </c>
      <c r="C349" s="45">
        <v>2025</v>
      </c>
      <c r="D349" s="47"/>
      <c r="E349" s="46" t="s">
        <v>526</v>
      </c>
      <c r="F349" s="45" t="s">
        <v>48</v>
      </c>
      <c r="G349" s="45" t="s">
        <v>119</v>
      </c>
      <c r="H349" s="45">
        <v>5</v>
      </c>
      <c r="I349" s="45">
        <v>0</v>
      </c>
      <c r="J349" s="45"/>
      <c r="K349" s="45" t="s">
        <v>4</v>
      </c>
      <c r="L349" s="45"/>
      <c r="M349" s="45"/>
      <c r="N349" s="45"/>
      <c r="O349" s="45"/>
      <c r="P349" s="45"/>
      <c r="Q349" s="45"/>
      <c r="R349" s="45"/>
      <c r="S349" s="45"/>
      <c r="T349" s="45"/>
      <c r="U349" s="58"/>
      <c r="V349" s="45"/>
      <c r="W349" s="45"/>
      <c r="X349" s="45"/>
      <c r="Y349" s="45"/>
      <c r="Z349" s="45"/>
      <c r="AA349" s="45"/>
      <c r="AB349" s="45"/>
      <c r="AC349" s="45"/>
      <c r="AD349" s="45"/>
      <c r="AE349" s="45" t="e">
        <f t="shared" si="54"/>
        <v>#N/A</v>
      </c>
      <c r="AF349" s="45" t="e">
        <f t="shared" si="55"/>
        <v>#N/A</v>
      </c>
      <c r="AG349" s="45" t="e">
        <f t="shared" si="56"/>
        <v>#N/A</v>
      </c>
      <c r="AH349" s="45" t="e">
        <f t="shared" si="57"/>
        <v>#N/A</v>
      </c>
      <c r="AI349" s="45"/>
      <c r="AJ349" s="45"/>
      <c r="AK349" s="45" t="s">
        <v>276</v>
      </c>
      <c r="AL349" s="45"/>
      <c r="AM349" s="45"/>
      <c r="AN349" s="45"/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45"/>
      <c r="BE349" s="45"/>
      <c r="BF349" s="45"/>
      <c r="BG349" s="45"/>
      <c r="BH349" s="45"/>
      <c r="BI349" s="45"/>
      <c r="BJ349" s="45"/>
      <c r="BK349" s="45"/>
    </row>
    <row r="350" spans="1:63" ht="30" customHeight="1">
      <c r="A350" s="51">
        <v>349</v>
      </c>
      <c r="B350" s="52" t="s">
        <v>110</v>
      </c>
      <c r="C350" s="51">
        <v>2025</v>
      </c>
      <c r="D350" s="53"/>
      <c r="E350" s="52" t="s">
        <v>527</v>
      </c>
      <c r="F350" s="51" t="s">
        <v>48</v>
      </c>
      <c r="G350" s="51" t="s">
        <v>119</v>
      </c>
      <c r="H350" s="51">
        <v>5</v>
      </c>
      <c r="I350" s="51">
        <v>0</v>
      </c>
      <c r="J350" s="51"/>
      <c r="K350" s="51" t="s">
        <v>4</v>
      </c>
      <c r="L350" s="51"/>
      <c r="M350" s="51"/>
      <c r="N350" s="51"/>
      <c r="O350" s="51"/>
      <c r="P350" s="51"/>
      <c r="Q350" s="51"/>
      <c r="R350" s="51"/>
      <c r="S350" s="51"/>
      <c r="T350" s="51"/>
      <c r="U350" s="59"/>
      <c r="V350" s="51"/>
      <c r="W350" s="51"/>
      <c r="X350" s="51"/>
      <c r="Y350" s="51"/>
      <c r="Z350" s="51"/>
      <c r="AA350" s="51"/>
      <c r="AB350" s="51"/>
      <c r="AC350" s="51"/>
      <c r="AD350" s="51"/>
      <c r="AE350" s="51" t="e">
        <f t="shared" si="54"/>
        <v>#N/A</v>
      </c>
      <c r="AF350" s="51" t="e">
        <f t="shared" si="55"/>
        <v>#N/A</v>
      </c>
      <c r="AG350" s="51" t="e">
        <f t="shared" si="56"/>
        <v>#N/A</v>
      </c>
      <c r="AH350" s="51" t="e">
        <f t="shared" si="57"/>
        <v>#N/A</v>
      </c>
      <c r="AI350" s="51"/>
      <c r="AJ350" s="51"/>
      <c r="AK350" s="51" t="s">
        <v>528</v>
      </c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</row>
    <row r="351" spans="1:63" ht="30" customHeight="1">
      <c r="A351" s="48">
        <v>350</v>
      </c>
      <c r="B351" s="49" t="s">
        <v>135</v>
      </c>
      <c r="C351" s="48">
        <v>2025</v>
      </c>
      <c r="D351" s="50"/>
      <c r="E351" s="49" t="s">
        <v>529</v>
      </c>
      <c r="F351" s="48" t="s">
        <v>48</v>
      </c>
      <c r="G351" s="48" t="s">
        <v>119</v>
      </c>
      <c r="H351" s="48">
        <v>5</v>
      </c>
      <c r="I351" s="48">
        <v>0</v>
      </c>
      <c r="J351" s="48"/>
      <c r="K351" s="48" t="s">
        <v>4</v>
      </c>
      <c r="L351" s="48"/>
      <c r="M351" s="48"/>
      <c r="N351" s="48"/>
      <c r="O351" s="48"/>
      <c r="P351" s="48"/>
      <c r="Q351" s="48"/>
      <c r="R351" s="48"/>
      <c r="S351" s="48"/>
      <c r="T351" s="48"/>
      <c r="U351" s="59"/>
      <c r="V351" s="48"/>
      <c r="W351" s="48"/>
      <c r="X351" s="48"/>
      <c r="Y351" s="48"/>
      <c r="Z351" s="48"/>
      <c r="AA351" s="48"/>
      <c r="AB351" s="48"/>
      <c r="AC351" s="48"/>
      <c r="AD351" s="48"/>
      <c r="AE351" s="48" t="e">
        <f t="shared" si="54"/>
        <v>#N/A</v>
      </c>
      <c r="AF351" s="48" t="e">
        <f t="shared" si="55"/>
        <v>#N/A</v>
      </c>
      <c r="AG351" s="48" t="e">
        <f t="shared" si="56"/>
        <v>#N/A</v>
      </c>
      <c r="AH351" s="48" t="e">
        <f t="shared" si="57"/>
        <v>#N/A</v>
      </c>
      <c r="AI351" s="48"/>
      <c r="AJ351" s="48"/>
      <c r="AK351" s="48" t="s">
        <v>528</v>
      </c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</row>
    <row r="352" spans="1:63" ht="30" customHeight="1">
      <c r="A352" s="51">
        <v>351</v>
      </c>
      <c r="B352" s="52" t="s">
        <v>135</v>
      </c>
      <c r="C352" s="51">
        <v>2025</v>
      </c>
      <c r="D352" s="53"/>
      <c r="E352" s="52" t="s">
        <v>530</v>
      </c>
      <c r="F352" s="51" t="s">
        <v>48</v>
      </c>
      <c r="G352" s="51" t="s">
        <v>119</v>
      </c>
      <c r="H352" s="51">
        <v>5</v>
      </c>
      <c r="I352" s="51">
        <v>0</v>
      </c>
      <c r="J352" s="51"/>
      <c r="K352" s="51" t="s">
        <v>4</v>
      </c>
      <c r="L352" s="51"/>
      <c r="M352" s="51"/>
      <c r="N352" s="51"/>
      <c r="O352" s="51"/>
      <c r="P352" s="51"/>
      <c r="Q352" s="51"/>
      <c r="R352" s="51"/>
      <c r="S352" s="51"/>
      <c r="T352" s="51"/>
      <c r="U352" s="59"/>
      <c r="V352" s="51"/>
      <c r="W352" s="51"/>
      <c r="X352" s="51"/>
      <c r="Y352" s="51"/>
      <c r="Z352" s="51"/>
      <c r="AA352" s="51"/>
      <c r="AB352" s="51"/>
      <c r="AC352" s="51"/>
      <c r="AD352" s="51"/>
      <c r="AE352" s="51" t="e">
        <f t="shared" si="54"/>
        <v>#N/A</v>
      </c>
      <c r="AF352" s="51" t="e">
        <f t="shared" si="55"/>
        <v>#N/A</v>
      </c>
      <c r="AG352" s="51" t="e">
        <f t="shared" si="56"/>
        <v>#N/A</v>
      </c>
      <c r="AH352" s="51" t="e">
        <f t="shared" si="57"/>
        <v>#N/A</v>
      </c>
      <c r="AI352" s="51"/>
      <c r="AJ352" s="51"/>
      <c r="AK352" s="51" t="s">
        <v>528</v>
      </c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</row>
    <row r="353" spans="1:63" ht="30" customHeight="1">
      <c r="A353" s="54">
        <v>352</v>
      </c>
      <c r="B353" s="42" t="s">
        <v>35</v>
      </c>
      <c r="C353" s="54">
        <v>2025</v>
      </c>
      <c r="D353" s="55"/>
      <c r="E353" s="42" t="s">
        <v>531</v>
      </c>
      <c r="F353" s="54" t="s">
        <v>48</v>
      </c>
      <c r="G353" s="54" t="s">
        <v>119</v>
      </c>
      <c r="H353" s="54">
        <v>4</v>
      </c>
      <c r="I353" s="54">
        <v>0</v>
      </c>
      <c r="J353" s="54"/>
      <c r="K353" s="54" t="s">
        <v>4</v>
      </c>
      <c r="L353" s="54"/>
      <c r="M353" s="54"/>
      <c r="N353" s="54"/>
      <c r="O353" s="54"/>
      <c r="P353" s="54"/>
      <c r="Q353" s="54"/>
      <c r="R353" s="54"/>
      <c r="S353" s="54"/>
      <c r="T353" s="54"/>
      <c r="U353" s="59"/>
      <c r="V353" s="54"/>
      <c r="W353" s="54"/>
      <c r="X353" s="54"/>
      <c r="Y353" s="54"/>
      <c r="Z353" s="54"/>
      <c r="AA353" s="54"/>
      <c r="AB353" s="54"/>
      <c r="AC353" s="54"/>
      <c r="AD353" s="54"/>
      <c r="AE353" s="54" t="e">
        <f t="shared" si="54"/>
        <v>#N/A</v>
      </c>
      <c r="AF353" s="54" t="e">
        <f t="shared" si="55"/>
        <v>#N/A</v>
      </c>
      <c r="AG353" s="54" t="e">
        <f t="shared" si="56"/>
        <v>#N/A</v>
      </c>
      <c r="AH353" s="54" t="e">
        <f t="shared" si="57"/>
        <v>#N/A</v>
      </c>
      <c r="AI353" s="54"/>
      <c r="AJ353" s="54"/>
      <c r="AK353" s="54" t="s">
        <v>528</v>
      </c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</row>
    <row r="354" spans="1:63" ht="30" customHeight="1">
      <c r="A354" s="51">
        <v>353</v>
      </c>
      <c r="B354" s="52" t="s">
        <v>130</v>
      </c>
      <c r="C354" s="51">
        <v>2025</v>
      </c>
      <c r="D354" s="53"/>
      <c r="E354" s="52" t="s">
        <v>532</v>
      </c>
      <c r="F354" s="51" t="s">
        <v>48</v>
      </c>
      <c r="G354" s="51" t="s">
        <v>119</v>
      </c>
      <c r="H354" s="51">
        <v>5</v>
      </c>
      <c r="I354" s="51">
        <v>0</v>
      </c>
      <c r="J354" s="51"/>
      <c r="K354" s="51" t="s">
        <v>4</v>
      </c>
      <c r="L354" s="51"/>
      <c r="M354" s="51"/>
      <c r="N354" s="51"/>
      <c r="O354" s="51"/>
      <c r="P354" s="51"/>
      <c r="Q354" s="51"/>
      <c r="R354" s="51"/>
      <c r="S354" s="51"/>
      <c r="T354" s="51"/>
      <c r="U354" s="59"/>
      <c r="V354" s="51"/>
      <c r="W354" s="51"/>
      <c r="X354" s="51"/>
      <c r="Y354" s="51"/>
      <c r="Z354" s="51"/>
      <c r="AA354" s="51"/>
      <c r="AB354" s="51"/>
      <c r="AC354" s="51"/>
      <c r="AD354" s="51"/>
      <c r="AE354" s="51" t="e">
        <f t="shared" si="54"/>
        <v>#N/A</v>
      </c>
      <c r="AF354" s="51" t="e">
        <f t="shared" si="55"/>
        <v>#N/A</v>
      </c>
      <c r="AG354" s="51" t="e">
        <f t="shared" si="56"/>
        <v>#N/A</v>
      </c>
      <c r="AH354" s="51" t="e">
        <f t="shared" si="57"/>
        <v>#N/A</v>
      </c>
      <c r="AI354" s="51"/>
      <c r="AJ354" s="51"/>
      <c r="AK354" s="51" t="s">
        <v>528</v>
      </c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</row>
    <row r="355" spans="1:63" ht="30" customHeight="1">
      <c r="A355" s="45">
        <v>354</v>
      </c>
      <c r="B355" s="46" t="s">
        <v>73</v>
      </c>
      <c r="C355" s="45">
        <v>2025</v>
      </c>
      <c r="D355" s="47"/>
      <c r="E355" s="46" t="s">
        <v>533</v>
      </c>
      <c r="F355" s="45" t="s">
        <v>48</v>
      </c>
      <c r="G355" s="45" t="s">
        <v>119</v>
      </c>
      <c r="H355" s="45">
        <v>5</v>
      </c>
      <c r="I355" s="45">
        <v>0</v>
      </c>
      <c r="J355" s="45"/>
      <c r="K355" s="45" t="s">
        <v>4</v>
      </c>
      <c r="L355" s="45"/>
      <c r="M355" s="45"/>
      <c r="N355" s="45"/>
      <c r="O355" s="45"/>
      <c r="P355" s="45"/>
      <c r="Q355" s="45"/>
      <c r="R355" s="45"/>
      <c r="S355" s="45"/>
      <c r="T355" s="45"/>
      <c r="U355" s="58"/>
      <c r="V355" s="45"/>
      <c r="W355" s="45"/>
      <c r="X355" s="45"/>
      <c r="Y355" s="45"/>
      <c r="Z355" s="45"/>
      <c r="AA355" s="45"/>
      <c r="AB355" s="45"/>
      <c r="AC355" s="45"/>
      <c r="AD355" s="45"/>
      <c r="AE355" s="45" t="e">
        <f t="shared" si="54"/>
        <v>#N/A</v>
      </c>
      <c r="AF355" s="45" t="e">
        <f t="shared" si="55"/>
        <v>#N/A</v>
      </c>
      <c r="AG355" s="45" t="e">
        <f t="shared" si="56"/>
        <v>#N/A</v>
      </c>
      <c r="AH355" s="45" t="e">
        <f t="shared" si="57"/>
        <v>#N/A</v>
      </c>
      <c r="AI355" s="45"/>
      <c r="AJ355" s="45"/>
      <c r="AK355" s="45" t="s">
        <v>528</v>
      </c>
      <c r="AL355" s="45"/>
      <c r="AM355" s="45"/>
      <c r="AN355" s="45"/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45"/>
      <c r="BE355" s="45"/>
      <c r="BF355" s="45"/>
      <c r="BG355" s="45"/>
      <c r="BH355" s="45"/>
      <c r="BI355" s="45"/>
      <c r="BJ355" s="45"/>
      <c r="BK355" s="45"/>
    </row>
    <row r="356" spans="1:63" ht="30" customHeight="1">
      <c r="A356" s="51">
        <v>355</v>
      </c>
      <c r="B356" s="52" t="s">
        <v>82</v>
      </c>
      <c r="C356" s="51">
        <v>2025</v>
      </c>
      <c r="D356" s="53"/>
      <c r="E356" s="52" t="s">
        <v>534</v>
      </c>
      <c r="F356" s="51" t="s">
        <v>48</v>
      </c>
      <c r="G356" s="51" t="s">
        <v>119</v>
      </c>
      <c r="H356" s="51">
        <v>4</v>
      </c>
      <c r="I356" s="51">
        <v>0</v>
      </c>
      <c r="J356" s="51"/>
      <c r="K356" s="51" t="s">
        <v>4</v>
      </c>
      <c r="L356" s="51"/>
      <c r="M356" s="51"/>
      <c r="N356" s="51"/>
      <c r="O356" s="51"/>
      <c r="P356" s="51"/>
      <c r="Q356" s="51"/>
      <c r="R356" s="51"/>
      <c r="S356" s="51"/>
      <c r="T356" s="51"/>
      <c r="U356" s="59"/>
      <c r="V356" s="51"/>
      <c r="W356" s="51"/>
      <c r="X356" s="51"/>
      <c r="Y356" s="51"/>
      <c r="Z356" s="51"/>
      <c r="AA356" s="51"/>
      <c r="AB356" s="51"/>
      <c r="AC356" s="51"/>
      <c r="AD356" s="51"/>
      <c r="AE356" s="51" t="e">
        <f t="shared" si="54"/>
        <v>#N/A</v>
      </c>
      <c r="AF356" s="51" t="e">
        <f t="shared" si="55"/>
        <v>#N/A</v>
      </c>
      <c r="AG356" s="51" t="e">
        <f t="shared" si="56"/>
        <v>#N/A</v>
      </c>
      <c r="AH356" s="51" t="e">
        <f t="shared" si="57"/>
        <v>#N/A</v>
      </c>
      <c r="AI356" s="51"/>
      <c r="AJ356" s="51"/>
      <c r="AK356" s="51" t="s">
        <v>427</v>
      </c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</row>
    <row r="357" spans="1:63" ht="30" customHeight="1">
      <c r="A357" s="48">
        <v>356</v>
      </c>
      <c r="B357" s="49" t="s">
        <v>82</v>
      </c>
      <c r="C357" s="48">
        <v>2025</v>
      </c>
      <c r="D357" s="50"/>
      <c r="E357" s="49" t="s">
        <v>535</v>
      </c>
      <c r="F357" s="48" t="s">
        <v>48</v>
      </c>
      <c r="G357" s="48" t="s">
        <v>119</v>
      </c>
      <c r="H357" s="48">
        <v>4</v>
      </c>
      <c r="I357" s="48">
        <v>0</v>
      </c>
      <c r="J357" s="48"/>
      <c r="K357" s="48" t="s">
        <v>4</v>
      </c>
      <c r="L357" s="48"/>
      <c r="M357" s="48"/>
      <c r="N357" s="48"/>
      <c r="O357" s="48"/>
      <c r="P357" s="48"/>
      <c r="Q357" s="48"/>
      <c r="R357" s="48"/>
      <c r="S357" s="48"/>
      <c r="T357" s="48"/>
      <c r="U357" s="59"/>
      <c r="V357" s="48"/>
      <c r="W357" s="48"/>
      <c r="X357" s="48"/>
      <c r="Y357" s="48"/>
      <c r="Z357" s="48"/>
      <c r="AA357" s="48"/>
      <c r="AB357" s="48"/>
      <c r="AC357" s="48"/>
      <c r="AD357" s="48"/>
      <c r="AE357" s="48" t="e">
        <f t="shared" si="54"/>
        <v>#N/A</v>
      </c>
      <c r="AF357" s="48" t="e">
        <f t="shared" si="55"/>
        <v>#N/A</v>
      </c>
      <c r="AG357" s="48" t="e">
        <f t="shared" si="56"/>
        <v>#N/A</v>
      </c>
      <c r="AH357" s="48" t="e">
        <f t="shared" si="57"/>
        <v>#N/A</v>
      </c>
      <c r="AI357" s="48"/>
      <c r="AJ357" s="48"/>
      <c r="AK357" s="48" t="s">
        <v>427</v>
      </c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</row>
    <row r="358" spans="1:63" ht="30" customHeight="1">
      <c r="A358" s="51">
        <v>357</v>
      </c>
      <c r="B358" s="52" t="s">
        <v>82</v>
      </c>
      <c r="C358" s="51">
        <v>2025</v>
      </c>
      <c r="D358" s="53"/>
      <c r="E358" s="52" t="s">
        <v>536</v>
      </c>
      <c r="F358" s="51" t="s">
        <v>48</v>
      </c>
      <c r="G358" s="51" t="s">
        <v>119</v>
      </c>
      <c r="H358" s="51">
        <v>7</v>
      </c>
      <c r="I358" s="51">
        <v>0</v>
      </c>
      <c r="J358" s="51"/>
      <c r="K358" s="51" t="s">
        <v>4</v>
      </c>
      <c r="L358" s="51"/>
      <c r="M358" s="73" t="s">
        <v>537</v>
      </c>
      <c r="N358" s="51"/>
      <c r="O358" s="51"/>
      <c r="P358" s="51"/>
      <c r="Q358" s="51"/>
      <c r="R358" s="51"/>
      <c r="S358" s="51"/>
      <c r="T358" s="51"/>
      <c r="U358" s="59"/>
      <c r="V358" s="51"/>
      <c r="W358" s="51"/>
      <c r="X358" s="51"/>
      <c r="Y358" s="51"/>
      <c r="Z358" s="51"/>
      <c r="AA358" s="51"/>
      <c r="AB358" s="51"/>
      <c r="AC358" s="51"/>
      <c r="AD358" s="51"/>
      <c r="AE358" s="51" t="e">
        <f t="shared" si="54"/>
        <v>#N/A</v>
      </c>
      <c r="AF358" s="51" t="e">
        <f t="shared" si="55"/>
        <v>#N/A</v>
      </c>
      <c r="AG358" s="51" t="e">
        <f t="shared" si="56"/>
        <v>#N/A</v>
      </c>
      <c r="AH358" s="51" t="e">
        <f t="shared" si="57"/>
        <v>#N/A</v>
      </c>
      <c r="AI358" s="51"/>
      <c r="AJ358" s="51"/>
      <c r="AK358" s="51" t="s">
        <v>427</v>
      </c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</row>
    <row r="359" spans="1:63" ht="30" customHeight="1">
      <c r="A359" s="54">
        <v>358</v>
      </c>
      <c r="B359" s="42" t="s">
        <v>110</v>
      </c>
      <c r="C359" s="54">
        <v>2025</v>
      </c>
      <c r="D359" s="55"/>
      <c r="E359" s="42" t="s">
        <v>538</v>
      </c>
      <c r="F359" s="54" t="s">
        <v>48</v>
      </c>
      <c r="G359" s="54" t="s">
        <v>119</v>
      </c>
      <c r="H359" s="54">
        <v>4</v>
      </c>
      <c r="I359" s="54">
        <v>0</v>
      </c>
      <c r="J359" s="54"/>
      <c r="K359" s="54" t="s">
        <v>4</v>
      </c>
      <c r="L359" s="54"/>
      <c r="M359" s="54"/>
      <c r="N359" s="54"/>
      <c r="O359" s="54"/>
      <c r="P359" s="54"/>
      <c r="Q359" s="54"/>
      <c r="R359" s="54"/>
      <c r="S359" s="54"/>
      <c r="T359" s="54"/>
      <c r="U359" s="59"/>
      <c r="V359" s="54"/>
      <c r="W359" s="54"/>
      <c r="X359" s="54"/>
      <c r="Y359" s="54"/>
      <c r="Z359" s="54"/>
      <c r="AA359" s="54"/>
      <c r="AB359" s="54"/>
      <c r="AC359" s="54"/>
      <c r="AD359" s="54"/>
      <c r="AE359" s="54" t="e">
        <f t="shared" si="54"/>
        <v>#N/A</v>
      </c>
      <c r="AF359" s="54" t="e">
        <f t="shared" si="55"/>
        <v>#N/A</v>
      </c>
      <c r="AG359" s="54" t="e">
        <f t="shared" si="56"/>
        <v>#N/A</v>
      </c>
      <c r="AH359" s="54" t="e">
        <f t="shared" si="57"/>
        <v>#N/A</v>
      </c>
      <c r="AI359" s="54"/>
      <c r="AJ359" s="54"/>
      <c r="AK359" s="54" t="s">
        <v>359</v>
      </c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</row>
    <row r="360" spans="1:63" ht="30" customHeight="1">
      <c r="A360" s="51">
        <v>359</v>
      </c>
      <c r="B360" s="52" t="s">
        <v>110</v>
      </c>
      <c r="C360" s="51">
        <v>2025</v>
      </c>
      <c r="D360" s="53"/>
      <c r="E360" s="52" t="s">
        <v>539</v>
      </c>
      <c r="F360" s="51" t="s">
        <v>48</v>
      </c>
      <c r="G360" s="51" t="s">
        <v>119</v>
      </c>
      <c r="H360" s="51">
        <v>6</v>
      </c>
      <c r="I360" s="51">
        <v>0</v>
      </c>
      <c r="J360" s="51"/>
      <c r="K360" s="51" t="s">
        <v>4</v>
      </c>
      <c r="L360" s="51"/>
      <c r="M360" s="51"/>
      <c r="N360" s="51"/>
      <c r="O360" s="51"/>
      <c r="P360" s="51"/>
      <c r="Q360" s="51"/>
      <c r="R360" s="51"/>
      <c r="S360" s="51"/>
      <c r="T360" s="51"/>
      <c r="U360" s="59"/>
      <c r="V360" s="51"/>
      <c r="W360" s="51"/>
      <c r="X360" s="51"/>
      <c r="Y360" s="51"/>
      <c r="Z360" s="51"/>
      <c r="AA360" s="51"/>
      <c r="AB360" s="51"/>
      <c r="AC360" s="51"/>
      <c r="AD360" s="51"/>
      <c r="AE360" s="51" t="e">
        <f t="shared" si="54"/>
        <v>#N/A</v>
      </c>
      <c r="AF360" s="51" t="e">
        <f t="shared" si="55"/>
        <v>#N/A</v>
      </c>
      <c r="AG360" s="51" t="e">
        <f t="shared" si="56"/>
        <v>#N/A</v>
      </c>
      <c r="AH360" s="51" t="e">
        <f t="shared" si="57"/>
        <v>#N/A</v>
      </c>
      <c r="AI360" s="51"/>
      <c r="AJ360" s="51"/>
      <c r="AK360" s="51" t="s">
        <v>359</v>
      </c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</row>
    <row r="361" spans="1:63" ht="30" customHeight="1">
      <c r="A361" s="45">
        <v>360</v>
      </c>
      <c r="B361" s="46" t="s">
        <v>77</v>
      </c>
      <c r="C361" s="45">
        <v>2025</v>
      </c>
      <c r="D361" s="47"/>
      <c r="E361" s="46" t="s">
        <v>540</v>
      </c>
      <c r="F361" s="45" t="s">
        <v>48</v>
      </c>
      <c r="G361" s="45" t="s">
        <v>119</v>
      </c>
      <c r="H361" s="45">
        <v>5</v>
      </c>
      <c r="I361" s="45">
        <v>0</v>
      </c>
      <c r="J361" s="45"/>
      <c r="K361" s="45" t="s">
        <v>4</v>
      </c>
      <c r="L361" s="45"/>
      <c r="M361" s="45"/>
      <c r="N361" s="45"/>
      <c r="O361" s="45"/>
      <c r="P361" s="45"/>
      <c r="Q361" s="45"/>
      <c r="R361" s="45"/>
      <c r="S361" s="45"/>
      <c r="T361" s="45"/>
      <c r="U361" s="58"/>
      <c r="V361" s="45"/>
      <c r="W361" s="45"/>
      <c r="X361" s="45"/>
      <c r="Y361" s="45"/>
      <c r="Z361" s="45"/>
      <c r="AA361" s="45"/>
      <c r="AB361" s="45"/>
      <c r="AC361" s="45"/>
      <c r="AD361" s="45"/>
      <c r="AE361" s="45" t="e">
        <f t="shared" si="54"/>
        <v>#N/A</v>
      </c>
      <c r="AF361" s="45" t="e">
        <f t="shared" si="55"/>
        <v>#N/A</v>
      </c>
      <c r="AG361" s="45" t="e">
        <f t="shared" si="56"/>
        <v>#N/A</v>
      </c>
      <c r="AH361" s="45" t="e">
        <f t="shared" si="57"/>
        <v>#N/A</v>
      </c>
      <c r="AI361" s="45"/>
      <c r="AJ361" s="45"/>
      <c r="AK361" s="45" t="s">
        <v>44</v>
      </c>
      <c r="AL361" s="45"/>
      <c r="AM361" s="45"/>
      <c r="AN361" s="45"/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45"/>
      <c r="BE361" s="45"/>
      <c r="BF361" s="45"/>
      <c r="BG361" s="45"/>
      <c r="BH361" s="45"/>
      <c r="BI361" s="45"/>
      <c r="BJ361" s="45"/>
      <c r="BK361" s="45"/>
    </row>
    <row r="362" spans="1:63" ht="30" customHeight="1">
      <c r="A362" s="51">
        <v>361</v>
      </c>
      <c r="B362" s="52" t="s">
        <v>35</v>
      </c>
      <c r="C362" s="51">
        <v>2025</v>
      </c>
      <c r="D362" s="53"/>
      <c r="E362" s="52" t="s">
        <v>541</v>
      </c>
      <c r="F362" s="51" t="s">
        <v>48</v>
      </c>
      <c r="G362" s="51" t="s">
        <v>119</v>
      </c>
      <c r="H362" s="51">
        <v>4</v>
      </c>
      <c r="I362" s="51">
        <v>0</v>
      </c>
      <c r="J362" s="51"/>
      <c r="K362" s="51" t="s">
        <v>4</v>
      </c>
      <c r="L362" s="51"/>
      <c r="M362" s="51"/>
      <c r="N362" s="51"/>
      <c r="O362" s="51"/>
      <c r="P362" s="51"/>
      <c r="Q362" s="51"/>
      <c r="R362" s="51"/>
      <c r="S362" s="51"/>
      <c r="T362" s="51"/>
      <c r="U362" s="59"/>
      <c r="V362" s="51"/>
      <c r="W362" s="51"/>
      <c r="X362" s="51"/>
      <c r="Y362" s="51"/>
      <c r="Z362" s="51"/>
      <c r="AA362" s="51"/>
      <c r="AB362" s="51"/>
      <c r="AC362" s="51"/>
      <c r="AD362" s="51"/>
      <c r="AE362" s="51" t="e">
        <f t="shared" si="54"/>
        <v>#N/A</v>
      </c>
      <c r="AF362" s="51" t="e">
        <f t="shared" si="55"/>
        <v>#N/A</v>
      </c>
      <c r="AG362" s="51" t="e">
        <f t="shared" si="56"/>
        <v>#N/A</v>
      </c>
      <c r="AH362" s="51" t="e">
        <f t="shared" si="57"/>
        <v>#N/A</v>
      </c>
      <c r="AI362" s="51"/>
      <c r="AJ362" s="51"/>
      <c r="AK362" s="51" t="s">
        <v>44</v>
      </c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</row>
    <row r="363" spans="1:63" ht="30" customHeight="1">
      <c r="A363" s="48">
        <v>362</v>
      </c>
      <c r="B363" s="49" t="s">
        <v>35</v>
      </c>
      <c r="C363" s="48">
        <v>2025</v>
      </c>
      <c r="D363" s="50"/>
      <c r="E363" s="49" t="s">
        <v>542</v>
      </c>
      <c r="F363" s="48" t="s">
        <v>48</v>
      </c>
      <c r="G363" s="48" t="s">
        <v>119</v>
      </c>
      <c r="H363" s="48">
        <v>4</v>
      </c>
      <c r="I363" s="48">
        <v>0</v>
      </c>
      <c r="J363" s="48"/>
      <c r="K363" s="48" t="s">
        <v>4</v>
      </c>
      <c r="L363" s="48"/>
      <c r="M363" s="48"/>
      <c r="N363" s="48"/>
      <c r="O363" s="48"/>
      <c r="P363" s="48"/>
      <c r="Q363" s="48"/>
      <c r="R363" s="48"/>
      <c r="S363" s="48"/>
      <c r="T363" s="48"/>
      <c r="U363" s="59"/>
      <c r="V363" s="48"/>
      <c r="W363" s="48"/>
      <c r="X363" s="48"/>
      <c r="Y363" s="48"/>
      <c r="Z363" s="48"/>
      <c r="AA363" s="48"/>
      <c r="AB363" s="48"/>
      <c r="AC363" s="48"/>
      <c r="AD363" s="48"/>
      <c r="AE363" s="48" t="e">
        <f t="shared" si="54"/>
        <v>#N/A</v>
      </c>
      <c r="AF363" s="48" t="e">
        <f t="shared" si="55"/>
        <v>#N/A</v>
      </c>
      <c r="AG363" s="48" t="e">
        <f t="shared" si="56"/>
        <v>#N/A</v>
      </c>
      <c r="AH363" s="48" t="e">
        <f t="shared" si="57"/>
        <v>#N/A</v>
      </c>
      <c r="AI363" s="48"/>
      <c r="AJ363" s="48"/>
      <c r="AK363" s="48" t="s">
        <v>44</v>
      </c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</row>
    <row r="364" spans="1:63" ht="30" customHeight="1">
      <c r="A364" s="51">
        <v>363</v>
      </c>
      <c r="B364" s="52" t="s">
        <v>35</v>
      </c>
      <c r="C364" s="51">
        <v>2025</v>
      </c>
      <c r="D364" s="53"/>
      <c r="E364" s="52" t="s">
        <v>543</v>
      </c>
      <c r="F364" s="51" t="s">
        <v>48</v>
      </c>
      <c r="G364" s="51" t="s">
        <v>119</v>
      </c>
      <c r="H364" s="51">
        <v>6</v>
      </c>
      <c r="I364" s="51">
        <v>0</v>
      </c>
      <c r="J364" s="51"/>
      <c r="K364" s="51" t="s">
        <v>4</v>
      </c>
      <c r="L364" s="51"/>
      <c r="M364" s="51"/>
      <c r="N364" s="51"/>
      <c r="O364" s="51"/>
      <c r="P364" s="51"/>
      <c r="Q364" s="51"/>
      <c r="R364" s="51"/>
      <c r="S364" s="51"/>
      <c r="T364" s="51"/>
      <c r="U364" s="59"/>
      <c r="V364" s="51"/>
      <c r="W364" s="51"/>
      <c r="X364" s="51"/>
      <c r="Y364" s="51"/>
      <c r="Z364" s="51"/>
      <c r="AA364" s="51"/>
      <c r="AB364" s="51"/>
      <c r="AC364" s="51"/>
      <c r="AD364" s="51"/>
      <c r="AE364" s="51" t="e">
        <f t="shared" si="54"/>
        <v>#N/A</v>
      </c>
      <c r="AF364" s="51" t="e">
        <f t="shared" si="55"/>
        <v>#N/A</v>
      </c>
      <c r="AG364" s="51" t="e">
        <f t="shared" si="56"/>
        <v>#N/A</v>
      </c>
      <c r="AH364" s="51" t="e">
        <f t="shared" si="57"/>
        <v>#N/A</v>
      </c>
      <c r="AI364" s="51"/>
      <c r="AJ364" s="51"/>
      <c r="AK364" s="51" t="s">
        <v>528</v>
      </c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</row>
    <row r="365" spans="1:63" ht="30" customHeight="1">
      <c r="A365" s="54">
        <v>364</v>
      </c>
      <c r="B365" s="42" t="s">
        <v>135</v>
      </c>
      <c r="C365" s="54">
        <v>2025</v>
      </c>
      <c r="D365" s="55"/>
      <c r="E365" s="42" t="s">
        <v>544</v>
      </c>
      <c r="F365" s="54" t="s">
        <v>48</v>
      </c>
      <c r="G365" s="54" t="s">
        <v>119</v>
      </c>
      <c r="H365" s="54">
        <v>4</v>
      </c>
      <c r="I365" s="54">
        <v>0</v>
      </c>
      <c r="J365" s="54"/>
      <c r="K365" s="54" t="s">
        <v>4</v>
      </c>
      <c r="L365" s="54"/>
      <c r="M365" s="54"/>
      <c r="N365" s="54"/>
      <c r="O365" s="54"/>
      <c r="P365" s="54"/>
      <c r="Q365" s="54"/>
      <c r="R365" s="54"/>
      <c r="S365" s="54"/>
      <c r="T365" s="54"/>
      <c r="U365" s="59"/>
      <c r="V365" s="54"/>
      <c r="W365" s="54"/>
      <c r="X365" s="54"/>
      <c r="Y365" s="54"/>
      <c r="Z365" s="54"/>
      <c r="AA365" s="54"/>
      <c r="AB365" s="54"/>
      <c r="AC365" s="54"/>
      <c r="AD365" s="54"/>
      <c r="AE365" s="54" t="e">
        <f t="shared" si="54"/>
        <v>#N/A</v>
      </c>
      <c r="AF365" s="54" t="e">
        <f t="shared" si="55"/>
        <v>#N/A</v>
      </c>
      <c r="AG365" s="54" t="e">
        <f t="shared" si="56"/>
        <v>#N/A</v>
      </c>
      <c r="AH365" s="54" t="e">
        <f t="shared" si="57"/>
        <v>#N/A</v>
      </c>
      <c r="AI365" s="54"/>
      <c r="AJ365" s="54"/>
      <c r="AK365" s="54" t="s">
        <v>276</v>
      </c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  <c r="AX365" s="54"/>
      <c r="AY365" s="54"/>
      <c r="AZ365" s="54"/>
      <c r="BA365" s="54"/>
      <c r="BB365" s="54"/>
      <c r="BC365" s="54"/>
      <c r="BD365" s="54"/>
      <c r="BE365" s="54"/>
      <c r="BF365" s="54"/>
      <c r="BG365" s="54"/>
      <c r="BH365" s="54"/>
      <c r="BI365" s="54"/>
      <c r="BJ365" s="54"/>
      <c r="BK365" s="54"/>
    </row>
    <row r="366" spans="1:63" ht="30" customHeight="1">
      <c r="A366" s="51">
        <v>365</v>
      </c>
      <c r="B366" s="52" t="s">
        <v>110</v>
      </c>
      <c r="C366" s="51">
        <v>2025</v>
      </c>
      <c r="D366" s="53"/>
      <c r="E366" s="52" t="s">
        <v>545</v>
      </c>
      <c r="F366" s="51" t="s">
        <v>48</v>
      </c>
      <c r="G366" s="51" t="s">
        <v>119</v>
      </c>
      <c r="H366" s="51">
        <v>5</v>
      </c>
      <c r="I366" s="51">
        <v>0</v>
      </c>
      <c r="J366" s="51"/>
      <c r="K366" s="51" t="s">
        <v>4</v>
      </c>
      <c r="L366" s="51"/>
      <c r="M366" s="51"/>
      <c r="N366" s="51"/>
      <c r="O366" s="51"/>
      <c r="P366" s="51"/>
      <c r="Q366" s="51"/>
      <c r="R366" s="51"/>
      <c r="S366" s="51"/>
      <c r="T366" s="51"/>
      <c r="U366" s="59"/>
      <c r="V366" s="51"/>
      <c r="W366" s="51"/>
      <c r="X366" s="51"/>
      <c r="Y366" s="51"/>
      <c r="Z366" s="51"/>
      <c r="AA366" s="51"/>
      <c r="AB366" s="51"/>
      <c r="AC366" s="51"/>
      <c r="AD366" s="51"/>
      <c r="AE366" s="51" t="e">
        <f t="shared" si="54"/>
        <v>#N/A</v>
      </c>
      <c r="AF366" s="51" t="e">
        <f t="shared" si="55"/>
        <v>#N/A</v>
      </c>
      <c r="AG366" s="51" t="e">
        <f t="shared" si="56"/>
        <v>#N/A</v>
      </c>
      <c r="AH366" s="51" t="e">
        <f t="shared" si="57"/>
        <v>#N/A</v>
      </c>
      <c r="AI366" s="51"/>
      <c r="AJ366" s="51"/>
      <c r="AK366" s="51" t="s">
        <v>276</v>
      </c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</row>
    <row r="367" spans="1:63" ht="30" customHeight="1">
      <c r="A367" s="45">
        <v>366</v>
      </c>
      <c r="B367" s="46" t="s">
        <v>124</v>
      </c>
      <c r="C367" s="45">
        <v>2025</v>
      </c>
      <c r="D367" s="47"/>
      <c r="E367" s="46" t="s">
        <v>546</v>
      </c>
      <c r="F367" s="45" t="s">
        <v>48</v>
      </c>
      <c r="G367" s="45" t="s">
        <v>119</v>
      </c>
      <c r="H367" s="45">
        <v>5</v>
      </c>
      <c r="I367" s="45">
        <v>0</v>
      </c>
      <c r="J367" s="45"/>
      <c r="K367" s="45" t="s">
        <v>4</v>
      </c>
      <c r="L367" s="45"/>
      <c r="M367" s="45"/>
      <c r="N367" s="45"/>
      <c r="O367" s="45"/>
      <c r="P367" s="45"/>
      <c r="Q367" s="45"/>
      <c r="R367" s="45"/>
      <c r="S367" s="45"/>
      <c r="T367" s="45"/>
      <c r="U367" s="58"/>
      <c r="V367" s="45"/>
      <c r="W367" s="45"/>
      <c r="X367" s="45"/>
      <c r="Y367" s="45"/>
      <c r="Z367" s="45"/>
      <c r="AA367" s="45"/>
      <c r="AB367" s="45"/>
      <c r="AC367" s="45"/>
      <c r="AD367" s="45"/>
      <c r="AE367" s="45" t="e">
        <f t="shared" si="54"/>
        <v>#N/A</v>
      </c>
      <c r="AF367" s="45" t="e">
        <f t="shared" si="55"/>
        <v>#N/A</v>
      </c>
      <c r="AG367" s="45" t="e">
        <f t="shared" si="56"/>
        <v>#N/A</v>
      </c>
      <c r="AH367" s="45" t="e">
        <f t="shared" si="57"/>
        <v>#N/A</v>
      </c>
      <c r="AI367" s="45"/>
      <c r="AJ367" s="45"/>
      <c r="AK367" s="45" t="s">
        <v>276</v>
      </c>
      <c r="AL367" s="45"/>
      <c r="AM367" s="45"/>
      <c r="AN367" s="45"/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45"/>
      <c r="BE367" s="45"/>
      <c r="BF367" s="45"/>
      <c r="BG367" s="45"/>
      <c r="BH367" s="45"/>
      <c r="BI367" s="45"/>
      <c r="BJ367" s="45"/>
      <c r="BK367" s="45"/>
    </row>
    <row r="368" spans="1:63" ht="30" customHeight="1">
      <c r="A368" s="51">
        <v>367</v>
      </c>
      <c r="B368" s="52" t="s">
        <v>82</v>
      </c>
      <c r="C368" s="51">
        <v>2025</v>
      </c>
      <c r="D368" s="53"/>
      <c r="E368" s="52" t="s">
        <v>547</v>
      </c>
      <c r="F368" s="51" t="s">
        <v>48</v>
      </c>
      <c r="G368" s="51" t="s">
        <v>119</v>
      </c>
      <c r="H368" s="51">
        <v>5</v>
      </c>
      <c r="I368" s="51">
        <v>0</v>
      </c>
      <c r="J368" s="51"/>
      <c r="K368" s="51" t="s">
        <v>4</v>
      </c>
      <c r="L368" s="51"/>
      <c r="M368" s="51"/>
      <c r="N368" s="51"/>
      <c r="O368" s="51"/>
      <c r="P368" s="51"/>
      <c r="Q368" s="51"/>
      <c r="R368" s="51"/>
      <c r="S368" s="51"/>
      <c r="T368" s="51"/>
      <c r="U368" s="59"/>
      <c r="V368" s="51"/>
      <c r="W368" s="51"/>
      <c r="X368" s="51"/>
      <c r="Y368" s="51"/>
      <c r="Z368" s="51"/>
      <c r="AA368" s="51"/>
      <c r="AB368" s="51"/>
      <c r="AC368" s="51"/>
      <c r="AD368" s="51"/>
      <c r="AE368" s="51" t="e">
        <f t="shared" si="54"/>
        <v>#N/A</v>
      </c>
      <c r="AF368" s="51" t="e">
        <f t="shared" si="55"/>
        <v>#N/A</v>
      </c>
      <c r="AG368" s="51" t="e">
        <f t="shared" si="56"/>
        <v>#N/A</v>
      </c>
      <c r="AH368" s="51" t="e">
        <f t="shared" si="57"/>
        <v>#N/A</v>
      </c>
      <c r="AI368" s="51"/>
      <c r="AJ368" s="51"/>
      <c r="AK368" s="51" t="s">
        <v>427</v>
      </c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</row>
    <row r="369" spans="1:63" ht="30" customHeight="1">
      <c r="A369" s="48">
        <v>368</v>
      </c>
      <c r="B369" s="49" t="s">
        <v>161</v>
      </c>
      <c r="C369" s="48">
        <v>2025</v>
      </c>
      <c r="D369" s="50"/>
      <c r="E369" s="49" t="s">
        <v>548</v>
      </c>
      <c r="F369" s="48" t="s">
        <v>10</v>
      </c>
      <c r="G369" s="48" t="s">
        <v>193</v>
      </c>
      <c r="H369" s="48">
        <v>4</v>
      </c>
      <c r="I369" s="48">
        <v>1</v>
      </c>
      <c r="J369" s="48"/>
      <c r="K369" s="48" t="str">
        <f>IF(H369=I369,"完结",IF(H369&gt;I369,"下载中"))</f>
        <v>下载中</v>
      </c>
      <c r="L369" s="48"/>
      <c r="M369" s="48"/>
      <c r="N369" s="48"/>
      <c r="O369" s="48"/>
      <c r="P369" s="48"/>
      <c r="Q369" s="48"/>
      <c r="R369" s="48"/>
      <c r="S369" s="48"/>
      <c r="T369" s="48"/>
      <c r="U369" s="59"/>
      <c r="V369" s="48"/>
      <c r="W369" s="48"/>
      <c r="X369" s="48"/>
      <c r="Y369" s="48"/>
      <c r="Z369" s="48"/>
      <c r="AA369" s="48"/>
      <c r="AB369" s="48"/>
      <c r="AC369" s="48"/>
      <c r="AD369" s="48"/>
      <c r="AE369" s="48" t="e">
        <f t="shared" si="54"/>
        <v>#N/A</v>
      </c>
      <c r="AF369" s="48" t="e">
        <f t="shared" si="55"/>
        <v>#N/A</v>
      </c>
      <c r="AG369" s="48" t="e">
        <f t="shared" si="56"/>
        <v>#N/A</v>
      </c>
      <c r="AH369" s="48" t="e">
        <f t="shared" si="57"/>
        <v>#N/A</v>
      </c>
      <c r="AI369" s="48"/>
      <c r="AJ369" s="48"/>
      <c r="AK369" s="48" t="s">
        <v>44</v>
      </c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</row>
    <row r="370" spans="1:63" ht="30" customHeight="1">
      <c r="A370" s="12"/>
      <c r="B370" s="38"/>
      <c r="C370" s="12"/>
      <c r="D370" s="39"/>
      <c r="E370" s="38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57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</row>
    <row r="371" spans="1:63" ht="30" customHeight="1">
      <c r="A371" s="14"/>
      <c r="B371" s="44"/>
      <c r="C371" s="14"/>
      <c r="D371" s="43"/>
      <c r="E371" s="4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57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</row>
    <row r="372" spans="1:63" ht="30" customHeight="1">
      <c r="A372" s="12"/>
      <c r="B372" s="38"/>
      <c r="C372" s="12"/>
      <c r="D372" s="39"/>
      <c r="E372" s="38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57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</row>
    <row r="373" spans="1:63" ht="30" customHeight="1">
      <c r="A373" s="11"/>
      <c r="B373" s="36"/>
      <c r="C373" s="11"/>
      <c r="D373" s="37"/>
      <c r="E373" s="36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56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</row>
    <row r="374" spans="1:63" ht="30" customHeight="1">
      <c r="A374" s="12"/>
      <c r="B374" s="38"/>
      <c r="C374" s="12"/>
      <c r="D374" s="39"/>
      <c r="E374" s="38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57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</row>
    <row r="375" spans="1:63" ht="30" customHeight="1">
      <c r="A375" s="13"/>
      <c r="B375" s="40"/>
      <c r="C375" s="13"/>
      <c r="D375" s="41"/>
      <c r="E375" s="40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57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</row>
    <row r="376" spans="1:63" ht="30" customHeight="1">
      <c r="A376" s="12"/>
      <c r="B376" s="38"/>
      <c r="C376" s="12"/>
      <c r="D376" s="39"/>
      <c r="E376" s="38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57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</row>
    <row r="377" spans="1:63" ht="30" customHeight="1">
      <c r="A377" s="14"/>
      <c r="B377" s="44"/>
      <c r="C377" s="14"/>
      <c r="D377" s="43"/>
      <c r="E377" s="4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57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</row>
    <row r="378" spans="1:63" ht="30" customHeight="1">
      <c r="A378" s="12"/>
      <c r="B378" s="38"/>
      <c r="C378" s="12"/>
      <c r="D378" s="39"/>
      <c r="E378" s="38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57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</row>
    <row r="379" spans="1:63" ht="30" customHeight="1">
      <c r="A379" s="11"/>
      <c r="B379" s="36"/>
      <c r="C379" s="11"/>
      <c r="D379" s="37"/>
      <c r="E379" s="36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56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</row>
    <row r="380" spans="1:63" ht="30" customHeight="1">
      <c r="A380" s="12"/>
      <c r="B380" s="38"/>
      <c r="C380" s="12"/>
      <c r="D380" s="39"/>
      <c r="E380" s="38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57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</row>
    <row r="381" spans="1:63" ht="30" customHeight="1">
      <c r="A381" s="13"/>
      <c r="B381" s="40"/>
      <c r="C381" s="13"/>
      <c r="D381" s="41"/>
      <c r="E381" s="40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57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</row>
    <row r="382" spans="1:63" ht="30" customHeight="1">
      <c r="A382" s="12"/>
      <c r="B382" s="38"/>
      <c r="C382" s="12"/>
      <c r="D382" s="39"/>
      <c r="E382" s="38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57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</row>
    <row r="383" spans="1:63" ht="30" customHeight="1">
      <c r="A383" s="14"/>
      <c r="B383" s="44"/>
      <c r="C383" s="14"/>
      <c r="D383" s="43"/>
      <c r="E383" s="4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57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</row>
    <row r="384" spans="1:63" ht="30" customHeight="1">
      <c r="A384" s="12"/>
      <c r="B384" s="38"/>
      <c r="C384" s="12"/>
      <c r="D384" s="39"/>
      <c r="E384" s="38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57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</row>
    <row r="385" spans="1:63" ht="30" customHeight="1">
      <c r="A385" s="11"/>
      <c r="B385" s="36"/>
      <c r="C385" s="11"/>
      <c r="D385" s="37"/>
      <c r="E385" s="36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56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</row>
    <row r="386" spans="1:63" ht="30" customHeight="1">
      <c r="A386" s="12"/>
      <c r="B386" s="38"/>
      <c r="C386" s="12"/>
      <c r="D386" s="39"/>
      <c r="E386" s="38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57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</row>
    <row r="387" spans="1:63" ht="30" customHeight="1">
      <c r="A387" s="13"/>
      <c r="B387" s="40"/>
      <c r="C387" s="13"/>
      <c r="D387" s="41"/>
      <c r="E387" s="40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57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</row>
    <row r="388" spans="1:63" ht="30" customHeight="1">
      <c r="A388" s="12"/>
      <c r="B388" s="38"/>
      <c r="C388" s="12"/>
      <c r="D388" s="39"/>
      <c r="E388" s="38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57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</row>
    <row r="389" spans="1:63" ht="30" customHeight="1">
      <c r="A389" s="14"/>
      <c r="B389" s="44"/>
      <c r="C389" s="14"/>
      <c r="D389" s="43"/>
      <c r="E389" s="4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57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</row>
    <row r="390" spans="1:63" ht="30" customHeight="1">
      <c r="A390" s="12"/>
      <c r="B390" s="38"/>
      <c r="C390" s="12"/>
      <c r="D390" s="39"/>
      <c r="E390" s="38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57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</row>
    <row r="391" spans="1:63" ht="30" customHeight="1">
      <c r="A391" s="11"/>
      <c r="B391" s="36"/>
      <c r="C391" s="11"/>
      <c r="D391" s="37"/>
      <c r="E391" s="36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56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</row>
    <row r="392" spans="1:63" ht="30" customHeight="1">
      <c r="A392" s="12"/>
      <c r="B392" s="38"/>
      <c r="C392" s="12"/>
      <c r="D392" s="39"/>
      <c r="E392" s="38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57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</row>
    <row r="393" spans="1:63" ht="30" customHeight="1">
      <c r="A393" s="13"/>
      <c r="B393" s="40"/>
      <c r="C393" s="13"/>
      <c r="D393" s="41"/>
      <c r="E393" s="40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57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</row>
    <row r="394" spans="1:63" ht="30" customHeight="1">
      <c r="A394" s="12"/>
      <c r="B394" s="38"/>
      <c r="C394" s="12"/>
      <c r="D394" s="39"/>
      <c r="E394" s="38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57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</row>
    <row r="395" spans="1:63" ht="30" customHeight="1">
      <c r="A395" s="14"/>
      <c r="B395" s="44"/>
      <c r="C395" s="14"/>
      <c r="D395" s="43"/>
      <c r="E395" s="4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57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</row>
    <row r="396" spans="1:63" ht="30" customHeight="1">
      <c r="A396" s="12"/>
      <c r="B396" s="38"/>
      <c r="C396" s="12"/>
      <c r="D396" s="39"/>
      <c r="E396" s="38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57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</row>
    <row r="397" spans="1:63" ht="30" customHeight="1">
      <c r="A397" s="11"/>
      <c r="B397" s="36"/>
      <c r="C397" s="11"/>
      <c r="D397" s="37"/>
      <c r="E397" s="36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56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</row>
    <row r="398" spans="1:63" ht="30" customHeight="1">
      <c r="A398" s="12"/>
      <c r="B398" s="38"/>
      <c r="C398" s="12"/>
      <c r="D398" s="39"/>
      <c r="E398" s="38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57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</row>
    <row r="399" spans="1:63" ht="30" customHeight="1">
      <c r="A399" s="13"/>
      <c r="B399" s="40"/>
      <c r="C399" s="13"/>
      <c r="D399" s="41"/>
      <c r="E399" s="40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57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</row>
    <row r="400" spans="1:63" ht="30" customHeight="1">
      <c r="A400" s="12"/>
      <c r="B400" s="38"/>
      <c r="C400" s="12"/>
      <c r="D400" s="39"/>
      <c r="E400" s="38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57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</row>
    <row r="401" spans="1:63" ht="30" customHeight="1">
      <c r="A401" s="14"/>
      <c r="B401" s="44"/>
      <c r="C401" s="14"/>
      <c r="D401" s="43"/>
      <c r="E401" s="4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57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</row>
    <row r="402" spans="1:63" ht="30" customHeight="1">
      <c r="A402" s="12"/>
      <c r="B402" s="38"/>
      <c r="C402" s="12"/>
      <c r="D402" s="39"/>
      <c r="E402" s="38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57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</row>
    <row r="403" spans="1:63" ht="30" customHeight="1">
      <c r="A403" s="11"/>
      <c r="B403" s="36"/>
      <c r="C403" s="11"/>
      <c r="D403" s="37"/>
      <c r="E403" s="36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56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</row>
    <row r="404" spans="1:63" ht="30" customHeight="1">
      <c r="A404" s="12"/>
      <c r="B404" s="38"/>
      <c r="C404" s="12"/>
      <c r="D404" s="39"/>
      <c r="E404" s="38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57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</row>
    <row r="405" spans="1:63" ht="30" customHeight="1">
      <c r="A405" s="13"/>
      <c r="B405" s="40"/>
      <c r="C405" s="13"/>
      <c r="D405" s="41"/>
      <c r="E405" s="40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57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</row>
    <row r="406" spans="1:63" ht="30" customHeight="1">
      <c r="A406" s="12"/>
      <c r="B406" s="38"/>
      <c r="C406" s="12"/>
      <c r="D406" s="39"/>
      <c r="E406" s="38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57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</row>
    <row r="407" spans="1:63" ht="30" customHeight="1">
      <c r="A407" s="14"/>
      <c r="B407" s="44"/>
      <c r="C407" s="14"/>
      <c r="D407" s="43"/>
      <c r="E407" s="4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57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</row>
    <row r="408" spans="1:63" ht="30" customHeight="1">
      <c r="A408" s="12"/>
      <c r="B408" s="38"/>
      <c r="C408" s="12"/>
      <c r="D408" s="39"/>
      <c r="E408" s="38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57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</row>
    <row r="409" spans="1:63" ht="30" customHeight="1">
      <c r="A409" s="11"/>
      <c r="B409" s="36"/>
      <c r="C409" s="11"/>
      <c r="D409" s="37"/>
      <c r="E409" s="36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56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</row>
    <row r="410" spans="1:63" ht="30" customHeight="1">
      <c r="A410" s="12"/>
      <c r="B410" s="38"/>
      <c r="C410" s="12"/>
      <c r="D410" s="39"/>
      <c r="E410" s="38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57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</row>
    <row r="411" spans="1:63" ht="30" customHeight="1">
      <c r="A411" s="13"/>
      <c r="B411" s="40"/>
      <c r="C411" s="13"/>
      <c r="D411" s="41"/>
      <c r="E411" s="40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57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</row>
    <row r="412" spans="1:63" ht="30" customHeight="1">
      <c r="A412" s="12"/>
      <c r="B412" s="38"/>
      <c r="C412" s="12"/>
      <c r="D412" s="39"/>
      <c r="E412" s="38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57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</row>
    <row r="413" spans="1:63" ht="30" customHeight="1">
      <c r="A413" s="14"/>
      <c r="B413" s="44"/>
      <c r="C413" s="14"/>
      <c r="D413" s="43"/>
      <c r="E413" s="4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57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</row>
    <row r="414" spans="1:63" ht="30" customHeight="1">
      <c r="A414" s="12"/>
      <c r="B414" s="38"/>
      <c r="C414" s="12"/>
      <c r="D414" s="39"/>
      <c r="E414" s="38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57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</row>
    <row r="415" spans="1:63" ht="30" customHeight="1">
      <c r="A415" s="11"/>
      <c r="B415" s="36"/>
      <c r="C415" s="11"/>
      <c r="D415" s="37"/>
      <c r="E415" s="36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56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</row>
    <row r="416" spans="1:63" ht="30" customHeight="1">
      <c r="A416" s="12"/>
      <c r="B416" s="38"/>
      <c r="C416" s="12"/>
      <c r="D416" s="39"/>
      <c r="E416" s="38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57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</row>
    <row r="417" spans="1:63" ht="30" customHeight="1">
      <c r="A417" s="13"/>
      <c r="B417" s="40"/>
      <c r="C417" s="13"/>
      <c r="D417" s="41"/>
      <c r="E417" s="40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57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</row>
    <row r="418" spans="1:63" ht="30" customHeight="1">
      <c r="A418" s="12"/>
      <c r="B418" s="38"/>
      <c r="C418" s="12"/>
      <c r="D418" s="39"/>
      <c r="E418" s="38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57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</row>
    <row r="419" spans="1:63" ht="30" customHeight="1">
      <c r="A419" s="14"/>
      <c r="B419" s="44"/>
      <c r="C419" s="14"/>
      <c r="D419" s="43"/>
      <c r="E419" s="4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57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</row>
    <row r="420" spans="1:63" ht="30" customHeight="1">
      <c r="A420" s="12"/>
      <c r="B420" s="38"/>
      <c r="C420" s="12"/>
      <c r="D420" s="39"/>
      <c r="E420" s="38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57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</row>
    <row r="421" spans="1:63" ht="30" customHeight="1">
      <c r="A421" s="11"/>
      <c r="B421" s="36"/>
      <c r="C421" s="11"/>
      <c r="D421" s="37"/>
      <c r="E421" s="36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56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</row>
    <row r="422" spans="1:63" ht="30" customHeight="1">
      <c r="A422" s="12"/>
      <c r="B422" s="38"/>
      <c r="C422" s="12"/>
      <c r="D422" s="39"/>
      <c r="E422" s="38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57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</row>
    <row r="423" spans="1:63" ht="30" customHeight="1">
      <c r="A423" s="13"/>
      <c r="B423" s="40"/>
      <c r="C423" s="13"/>
      <c r="D423" s="41"/>
      <c r="E423" s="40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57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</row>
    <row r="424" spans="1:63" ht="30" customHeight="1">
      <c r="A424" s="12"/>
      <c r="B424" s="38"/>
      <c r="C424" s="12"/>
      <c r="D424" s="39"/>
      <c r="E424" s="38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57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</row>
    <row r="425" spans="1:63" ht="30" customHeight="1">
      <c r="A425" s="14"/>
      <c r="B425" s="44"/>
      <c r="C425" s="14"/>
      <c r="D425" s="43"/>
      <c r="E425" s="4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57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</row>
    <row r="426" spans="1:63" ht="30" customHeight="1">
      <c r="A426" s="12"/>
      <c r="B426" s="38"/>
      <c r="C426" s="12"/>
      <c r="D426" s="39"/>
      <c r="E426" s="38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57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</row>
    <row r="427" spans="1:63" ht="30" customHeight="1">
      <c r="A427" s="11"/>
      <c r="B427" s="36"/>
      <c r="C427" s="11"/>
      <c r="D427" s="37"/>
      <c r="E427" s="36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56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</row>
    <row r="428" spans="1:63" ht="30" customHeight="1">
      <c r="A428" s="12"/>
      <c r="B428" s="38"/>
      <c r="C428" s="12"/>
      <c r="D428" s="39"/>
      <c r="E428" s="38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57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</row>
    <row r="429" spans="1:63" ht="30" customHeight="1">
      <c r="A429" s="13"/>
      <c r="B429" s="40"/>
      <c r="C429" s="13"/>
      <c r="D429" s="41"/>
      <c r="E429" s="40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57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</row>
    <row r="430" spans="1:63" ht="30" customHeight="1">
      <c r="A430" s="12"/>
      <c r="B430" s="38"/>
      <c r="C430" s="12"/>
      <c r="D430" s="39"/>
      <c r="E430" s="38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57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</row>
    <row r="431" spans="1:63" ht="30" customHeight="1">
      <c r="A431" s="14"/>
      <c r="B431" s="44"/>
      <c r="C431" s="14"/>
      <c r="D431" s="43"/>
      <c r="E431" s="4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57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</row>
    <row r="432" spans="1:63" ht="30" customHeight="1">
      <c r="A432" s="12"/>
      <c r="B432" s="38"/>
      <c r="C432" s="12"/>
      <c r="D432" s="39"/>
      <c r="E432" s="38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57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</row>
    <row r="433" spans="1:63" ht="30" customHeight="1">
      <c r="A433" s="11"/>
      <c r="B433" s="36"/>
      <c r="C433" s="11"/>
      <c r="D433" s="37"/>
      <c r="E433" s="36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56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</row>
    <row r="434" spans="1:63" ht="30" customHeight="1">
      <c r="A434" s="12"/>
      <c r="B434" s="38"/>
      <c r="C434" s="12"/>
      <c r="D434" s="39"/>
      <c r="E434" s="38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57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</row>
    <row r="435" spans="1:63" ht="30" customHeight="1">
      <c r="A435" s="13"/>
      <c r="B435" s="40"/>
      <c r="C435" s="13"/>
      <c r="D435" s="41"/>
      <c r="E435" s="40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57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</row>
    <row r="436" spans="1:63" ht="30" customHeight="1">
      <c r="A436" s="12"/>
      <c r="B436" s="38"/>
      <c r="C436" s="12"/>
      <c r="D436" s="39"/>
      <c r="E436" s="38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57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</row>
    <row r="437" spans="1:63" ht="30" customHeight="1">
      <c r="A437" s="14"/>
      <c r="B437" s="44"/>
      <c r="C437" s="14"/>
      <c r="D437" s="43"/>
      <c r="E437" s="4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57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</row>
    <row r="438" spans="1:63" ht="30" customHeight="1">
      <c r="A438" s="12"/>
      <c r="B438" s="38"/>
      <c r="C438" s="12"/>
      <c r="D438" s="39"/>
      <c r="E438" s="38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57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</row>
    <row r="439" spans="1:63" ht="30" customHeight="1">
      <c r="A439" s="11"/>
      <c r="B439" s="36"/>
      <c r="C439" s="11"/>
      <c r="D439" s="37"/>
      <c r="E439" s="36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56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</row>
    <row r="440" spans="1:63" ht="30" customHeight="1">
      <c r="A440" s="12"/>
      <c r="B440" s="38"/>
      <c r="C440" s="12"/>
      <c r="D440" s="39"/>
      <c r="E440" s="38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57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  <c r="BF440" s="12"/>
      <c r="BG440" s="12"/>
      <c r="BH440" s="12"/>
      <c r="BI440" s="12"/>
      <c r="BJ440" s="12"/>
      <c r="BK440" s="12"/>
    </row>
    <row r="441" spans="1:63" ht="30" customHeight="1">
      <c r="A441" s="13"/>
      <c r="B441" s="40"/>
      <c r="C441" s="13"/>
      <c r="D441" s="41"/>
      <c r="E441" s="40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57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</row>
    <row r="442" spans="1:63" ht="30" customHeight="1">
      <c r="A442" s="12"/>
      <c r="B442" s="38"/>
      <c r="C442" s="12"/>
      <c r="D442" s="39"/>
      <c r="E442" s="38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57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</row>
    <row r="443" spans="1:63" ht="30" customHeight="1">
      <c r="A443" s="14"/>
      <c r="B443" s="44"/>
      <c r="C443" s="14"/>
      <c r="D443" s="43"/>
      <c r="E443" s="4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57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</row>
    <row r="444" spans="1:63" ht="30" customHeight="1">
      <c r="A444" s="12"/>
      <c r="B444" s="38"/>
      <c r="C444" s="12"/>
      <c r="D444" s="39"/>
      <c r="E444" s="38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57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  <c r="BF444" s="12"/>
      <c r="BG444" s="12"/>
      <c r="BH444" s="12"/>
      <c r="BI444" s="12"/>
      <c r="BJ444" s="12"/>
      <c r="BK444" s="12"/>
    </row>
    <row r="445" spans="1:63" ht="30" customHeight="1">
      <c r="A445" s="11"/>
      <c r="B445" s="36"/>
      <c r="C445" s="11"/>
      <c r="D445" s="37"/>
      <c r="E445" s="36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56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</row>
    <row r="446" spans="1:63" ht="30" customHeight="1">
      <c r="A446" s="12"/>
      <c r="B446" s="38"/>
      <c r="C446" s="12"/>
      <c r="D446" s="39"/>
      <c r="E446" s="38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57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</row>
    <row r="447" spans="1:63" ht="30" customHeight="1">
      <c r="A447" s="13"/>
      <c r="B447" s="40"/>
      <c r="C447" s="13"/>
      <c r="D447" s="41"/>
      <c r="E447" s="40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57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</row>
    <row r="448" spans="1:63" ht="30" customHeight="1">
      <c r="A448" s="12"/>
      <c r="B448" s="38"/>
      <c r="C448" s="12"/>
      <c r="D448" s="39"/>
      <c r="E448" s="38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57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</row>
    <row r="449" spans="1:63" ht="30" customHeight="1">
      <c r="A449" s="14"/>
      <c r="B449" s="44"/>
      <c r="C449" s="14"/>
      <c r="D449" s="43"/>
      <c r="E449" s="4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57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</row>
    <row r="450" spans="1:63" ht="30" customHeight="1">
      <c r="A450" s="12"/>
      <c r="B450" s="38"/>
      <c r="C450" s="12"/>
      <c r="D450" s="39"/>
      <c r="E450" s="38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57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  <c r="BF450" s="12"/>
      <c r="BG450" s="12"/>
      <c r="BH450" s="12"/>
      <c r="BI450" s="12"/>
      <c r="BJ450" s="12"/>
      <c r="BK450" s="12"/>
    </row>
    <row r="451" spans="1:63" ht="30" customHeight="1">
      <c r="A451" s="11"/>
      <c r="B451" s="36"/>
      <c r="C451" s="11"/>
      <c r="D451" s="37"/>
      <c r="E451" s="36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56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</row>
    <row r="452" spans="1:63" ht="30" customHeight="1">
      <c r="A452" s="12"/>
      <c r="B452" s="38"/>
      <c r="C452" s="12"/>
      <c r="D452" s="39"/>
      <c r="E452" s="38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57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</row>
    <row r="453" spans="1:63" ht="30" customHeight="1">
      <c r="A453" s="13"/>
      <c r="B453" s="40"/>
      <c r="C453" s="13"/>
      <c r="D453" s="41"/>
      <c r="E453" s="40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57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</row>
    <row r="454" spans="1:63" ht="30" customHeight="1">
      <c r="A454" s="12"/>
      <c r="B454" s="38"/>
      <c r="C454" s="12"/>
      <c r="D454" s="39"/>
      <c r="E454" s="38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57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</row>
    <row r="455" spans="1:63" ht="30" customHeight="1">
      <c r="A455" s="14"/>
      <c r="B455" s="44"/>
      <c r="C455" s="14"/>
      <c r="D455" s="43"/>
      <c r="E455" s="4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57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</row>
    <row r="456" spans="1:63" ht="30" customHeight="1">
      <c r="A456" s="12"/>
      <c r="B456" s="38"/>
      <c r="C456" s="12"/>
      <c r="D456" s="39"/>
      <c r="E456" s="38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57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</row>
    <row r="457" spans="1:63" ht="30" customHeight="1">
      <c r="A457" s="11"/>
      <c r="B457" s="36"/>
      <c r="C457" s="11"/>
      <c r="D457" s="37"/>
      <c r="E457" s="36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56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</row>
    <row r="458" spans="1:63" ht="30" customHeight="1">
      <c r="A458" s="12"/>
      <c r="B458" s="38"/>
      <c r="C458" s="12"/>
      <c r="D458" s="39"/>
      <c r="E458" s="38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57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</row>
    <row r="459" spans="1:63" ht="30" customHeight="1">
      <c r="A459" s="13"/>
      <c r="B459" s="40"/>
      <c r="C459" s="13"/>
      <c r="D459" s="41"/>
      <c r="E459" s="40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57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</row>
    <row r="460" spans="1:63" ht="30" customHeight="1">
      <c r="A460" s="12"/>
      <c r="B460" s="38"/>
      <c r="C460" s="12"/>
      <c r="D460" s="39"/>
      <c r="E460" s="38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57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</row>
    <row r="461" spans="1:63" ht="30" customHeight="1">
      <c r="A461" s="14"/>
      <c r="B461" s="44"/>
      <c r="C461" s="14"/>
      <c r="D461" s="43"/>
      <c r="E461" s="4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57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</row>
    <row r="462" spans="1:63" ht="30" customHeight="1">
      <c r="A462" s="12"/>
      <c r="B462" s="38"/>
      <c r="C462" s="12"/>
      <c r="D462" s="39"/>
      <c r="E462" s="38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57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</row>
    <row r="463" spans="1:63" ht="30" customHeight="1">
      <c r="A463" s="11"/>
      <c r="B463" s="36"/>
      <c r="C463" s="11"/>
      <c r="D463" s="37"/>
      <c r="E463" s="36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56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</row>
    <row r="464" spans="1:63" ht="30" customHeight="1">
      <c r="A464" s="12"/>
      <c r="B464" s="38"/>
      <c r="C464" s="12"/>
      <c r="D464" s="39"/>
      <c r="E464" s="38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57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</row>
    <row r="465" spans="1:63" ht="30" customHeight="1">
      <c r="A465" s="13"/>
      <c r="B465" s="40"/>
      <c r="C465" s="13"/>
      <c r="D465" s="41"/>
      <c r="E465" s="40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57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</row>
    <row r="466" spans="1:63" ht="30" customHeight="1">
      <c r="A466" s="12"/>
      <c r="B466" s="38"/>
      <c r="C466" s="12"/>
      <c r="D466" s="39"/>
      <c r="E466" s="38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57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</row>
    <row r="467" spans="1:63" ht="30" customHeight="1">
      <c r="A467" s="14"/>
      <c r="B467" s="44"/>
      <c r="C467" s="14"/>
      <c r="D467" s="43"/>
      <c r="E467" s="4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57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</row>
    <row r="468" spans="1:63" ht="30" customHeight="1">
      <c r="A468" s="12"/>
      <c r="B468" s="38"/>
      <c r="C468" s="12"/>
      <c r="D468" s="39"/>
      <c r="E468" s="38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57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</row>
    <row r="469" spans="1:63" ht="30" customHeight="1">
      <c r="A469" s="11"/>
      <c r="B469" s="36"/>
      <c r="C469" s="11"/>
      <c r="D469" s="37"/>
      <c r="E469" s="36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56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</row>
    <row r="470" spans="1:63" ht="30" customHeight="1">
      <c r="A470" s="12"/>
      <c r="B470" s="38"/>
      <c r="C470" s="12"/>
      <c r="D470" s="39"/>
      <c r="E470" s="38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57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</row>
    <row r="471" spans="1:63" ht="30" customHeight="1">
      <c r="A471" s="13"/>
      <c r="B471" s="40"/>
      <c r="C471" s="13"/>
      <c r="D471" s="41"/>
      <c r="E471" s="40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57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</row>
    <row r="472" spans="1:63" ht="30" customHeight="1">
      <c r="A472" s="12"/>
      <c r="B472" s="38"/>
      <c r="C472" s="12"/>
      <c r="D472" s="39"/>
      <c r="E472" s="38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57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</row>
    <row r="473" spans="1:63" ht="30" customHeight="1">
      <c r="A473" s="14"/>
      <c r="B473" s="44"/>
      <c r="C473" s="14"/>
      <c r="D473" s="43"/>
      <c r="E473" s="4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57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</row>
    <row r="474" spans="1:63" ht="30" customHeight="1">
      <c r="A474" s="12"/>
      <c r="B474" s="38"/>
      <c r="C474" s="12"/>
      <c r="D474" s="39"/>
      <c r="E474" s="38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57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</row>
    <row r="475" spans="1:63" ht="30" customHeight="1">
      <c r="A475" s="11"/>
      <c r="B475" s="36"/>
      <c r="C475" s="11"/>
      <c r="D475" s="37"/>
      <c r="E475" s="36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56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</row>
    <row r="476" spans="1:63" ht="30" customHeight="1">
      <c r="A476" s="12"/>
      <c r="B476" s="38"/>
      <c r="C476" s="12"/>
      <c r="D476" s="39"/>
      <c r="E476" s="38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57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</row>
    <row r="477" spans="1:63" ht="30" customHeight="1">
      <c r="A477" s="13"/>
      <c r="B477" s="40"/>
      <c r="C477" s="13"/>
      <c r="D477" s="41"/>
      <c r="E477" s="40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57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</row>
    <row r="478" spans="1:63" ht="30" customHeight="1">
      <c r="A478" s="12"/>
      <c r="B478" s="38"/>
      <c r="C478" s="12"/>
      <c r="D478" s="39"/>
      <c r="E478" s="38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57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</row>
    <row r="479" spans="1:63" ht="30" customHeight="1">
      <c r="A479" s="14"/>
      <c r="B479" s="44"/>
      <c r="C479" s="14"/>
      <c r="D479" s="43"/>
      <c r="E479" s="4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57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</row>
    <row r="480" spans="1:63" ht="30" customHeight="1">
      <c r="A480" s="12"/>
      <c r="B480" s="38"/>
      <c r="C480" s="12"/>
      <c r="D480" s="39"/>
      <c r="E480" s="38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57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</row>
    <row r="481" spans="1:63" ht="30" customHeight="1">
      <c r="A481" s="11"/>
      <c r="B481" s="36"/>
      <c r="C481" s="11"/>
      <c r="D481" s="37"/>
      <c r="E481" s="36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56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</row>
    <row r="482" spans="1:63" ht="30" customHeight="1">
      <c r="A482" s="12"/>
      <c r="B482" s="38"/>
      <c r="C482" s="12"/>
      <c r="D482" s="39"/>
      <c r="E482" s="38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57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</row>
    <row r="483" spans="1:63" ht="30" customHeight="1">
      <c r="A483" s="13"/>
      <c r="B483" s="40"/>
      <c r="C483" s="13"/>
      <c r="D483" s="41"/>
      <c r="E483" s="40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57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</row>
    <row r="484" spans="1:63" ht="30" customHeight="1">
      <c r="A484" s="12"/>
      <c r="B484" s="38"/>
      <c r="C484" s="12"/>
      <c r="D484" s="39"/>
      <c r="E484" s="38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57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</row>
    <row r="485" spans="1:63" ht="30" customHeight="1">
      <c r="A485" s="14"/>
      <c r="B485" s="44"/>
      <c r="C485" s="14"/>
      <c r="D485" s="43"/>
      <c r="E485" s="4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57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</row>
    <row r="486" spans="1:63" ht="30" customHeight="1">
      <c r="A486" s="12"/>
      <c r="B486" s="38"/>
      <c r="C486" s="12"/>
      <c r="D486" s="39"/>
      <c r="E486" s="38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57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</row>
    <row r="487" spans="1:63" ht="30" customHeight="1">
      <c r="A487" s="11"/>
      <c r="B487" s="36"/>
      <c r="C487" s="11"/>
      <c r="D487" s="37"/>
      <c r="E487" s="36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56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</row>
    <row r="488" spans="1:63" ht="30" customHeight="1">
      <c r="A488" s="12"/>
      <c r="B488" s="38"/>
      <c r="C488" s="12"/>
      <c r="D488" s="39"/>
      <c r="E488" s="38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57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</row>
    <row r="489" spans="1:63" ht="30" customHeight="1">
      <c r="A489" s="13"/>
      <c r="B489" s="40"/>
      <c r="C489" s="13"/>
      <c r="D489" s="41"/>
      <c r="E489" s="40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57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</row>
    <row r="490" spans="1:63" ht="30" customHeight="1">
      <c r="A490" s="12"/>
      <c r="B490" s="38"/>
      <c r="C490" s="12"/>
      <c r="D490" s="39"/>
      <c r="E490" s="38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57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</row>
    <row r="491" spans="1:63" ht="30" customHeight="1">
      <c r="A491" s="14"/>
      <c r="B491" s="44"/>
      <c r="C491" s="14"/>
      <c r="D491" s="43"/>
      <c r="E491" s="4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57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</row>
    <row r="492" spans="1:63" ht="30" customHeight="1">
      <c r="A492" s="12"/>
      <c r="B492" s="38"/>
      <c r="C492" s="12"/>
      <c r="D492" s="39"/>
      <c r="E492" s="38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57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</row>
    <row r="493" spans="1:63" ht="30" customHeight="1">
      <c r="A493" s="11"/>
      <c r="B493" s="36"/>
      <c r="C493" s="11"/>
      <c r="D493" s="37"/>
      <c r="E493" s="36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56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</row>
    <row r="494" spans="1:63" ht="30" customHeight="1">
      <c r="A494" s="12"/>
      <c r="B494" s="38"/>
      <c r="C494" s="12"/>
      <c r="D494" s="39"/>
      <c r="E494" s="38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57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</row>
    <row r="495" spans="1:63" ht="30" customHeight="1">
      <c r="A495" s="13"/>
      <c r="B495" s="40"/>
      <c r="C495" s="13"/>
      <c r="D495" s="41"/>
      <c r="E495" s="40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57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</row>
    <row r="496" spans="1:63" ht="30" customHeight="1">
      <c r="A496" s="12"/>
      <c r="B496" s="38"/>
      <c r="C496" s="12"/>
      <c r="D496" s="39"/>
      <c r="E496" s="38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57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</row>
    <row r="497" spans="1:63" ht="30" customHeight="1">
      <c r="A497" s="14"/>
      <c r="B497" s="44"/>
      <c r="C497" s="14"/>
      <c r="D497" s="43"/>
      <c r="E497" s="4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57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</row>
    <row r="498" spans="1:63" ht="30" customHeight="1">
      <c r="A498" s="12"/>
      <c r="B498" s="38"/>
      <c r="C498" s="12"/>
      <c r="D498" s="39"/>
      <c r="E498" s="38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57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</row>
    <row r="499" spans="1:63" ht="30" customHeight="1">
      <c r="A499" s="11"/>
      <c r="B499" s="36"/>
      <c r="C499" s="11"/>
      <c r="D499" s="37"/>
      <c r="E499" s="36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56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</row>
    <row r="500" spans="1:63" ht="30" customHeight="1">
      <c r="A500" s="12"/>
      <c r="B500" s="38"/>
      <c r="C500" s="12"/>
      <c r="D500" s="39"/>
      <c r="E500" s="38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57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</row>
    <row r="501" spans="1:63" ht="30" customHeight="1">
      <c r="A501" s="13"/>
      <c r="B501" s="40"/>
      <c r="C501" s="13"/>
      <c r="D501" s="41"/>
      <c r="E501" s="40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57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</row>
    <row r="502" spans="1:63" ht="30" customHeight="1">
      <c r="A502" s="12"/>
      <c r="B502" s="38"/>
      <c r="C502" s="12"/>
      <c r="D502" s="39"/>
      <c r="E502" s="38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57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</row>
    <row r="503" spans="1:63" ht="30" customHeight="1">
      <c r="A503" s="14"/>
      <c r="B503" s="44"/>
      <c r="C503" s="14"/>
      <c r="D503" s="43"/>
      <c r="E503" s="4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57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</row>
    <row r="504" spans="1:63" ht="30" customHeight="1">
      <c r="A504" s="12"/>
      <c r="B504" s="38"/>
      <c r="C504" s="12"/>
      <c r="D504" s="39"/>
      <c r="E504" s="38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57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</row>
    <row r="505" spans="1:63" ht="30" customHeight="1">
      <c r="A505" s="11"/>
      <c r="B505" s="36"/>
      <c r="C505" s="11"/>
      <c r="D505" s="37"/>
      <c r="E505" s="36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56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</row>
    <row r="506" spans="1:63" ht="30" customHeight="1">
      <c r="A506" s="12"/>
      <c r="B506" s="38"/>
      <c r="C506" s="12"/>
      <c r="D506" s="39"/>
      <c r="E506" s="38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57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</row>
    <row r="507" spans="1:63" ht="30" customHeight="1">
      <c r="A507" s="13"/>
      <c r="B507" s="40"/>
      <c r="C507" s="13"/>
      <c r="D507" s="41"/>
      <c r="E507" s="40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57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</row>
    <row r="508" spans="1:63" ht="30" customHeight="1">
      <c r="A508" s="12"/>
      <c r="B508" s="38"/>
      <c r="C508" s="12"/>
      <c r="D508" s="39"/>
      <c r="E508" s="38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57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</row>
    <row r="509" spans="1:63" ht="30" customHeight="1">
      <c r="A509" s="14"/>
      <c r="B509" s="44"/>
      <c r="C509" s="14"/>
      <c r="D509" s="43"/>
      <c r="E509" s="4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57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</row>
    <row r="510" spans="1:63" ht="30" customHeight="1">
      <c r="A510" s="12"/>
      <c r="B510" s="38"/>
      <c r="C510" s="12"/>
      <c r="D510" s="39"/>
      <c r="E510" s="38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57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</row>
    <row r="511" spans="1:63" ht="30" customHeight="1">
      <c r="A511" s="11"/>
      <c r="B511" s="36"/>
      <c r="C511" s="11"/>
      <c r="D511" s="37"/>
      <c r="E511" s="36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56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</row>
    <row r="512" spans="1:63" ht="30" customHeight="1">
      <c r="A512" s="12"/>
      <c r="B512" s="38"/>
      <c r="C512" s="12"/>
      <c r="D512" s="39"/>
      <c r="E512" s="38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57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</row>
    <row r="513" spans="1:63" ht="30" customHeight="1">
      <c r="A513" s="13"/>
      <c r="B513" s="40"/>
      <c r="C513" s="13"/>
      <c r="D513" s="41"/>
      <c r="E513" s="40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57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</row>
    <row r="514" spans="1:63" ht="30" customHeight="1">
      <c r="A514" s="12"/>
      <c r="B514" s="38"/>
      <c r="C514" s="12"/>
      <c r="D514" s="39"/>
      <c r="E514" s="38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57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</row>
    <row r="515" spans="1:63" ht="30" customHeight="1">
      <c r="A515" s="14"/>
      <c r="B515" s="44"/>
      <c r="C515" s="14"/>
      <c r="D515" s="43"/>
      <c r="E515" s="4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57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</row>
    <row r="516" spans="1:63" ht="30" customHeight="1">
      <c r="A516" s="12"/>
      <c r="B516" s="38"/>
      <c r="C516" s="12"/>
      <c r="D516" s="39"/>
      <c r="E516" s="38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57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</row>
    <row r="517" spans="1:63" ht="30" customHeight="1">
      <c r="A517" s="11"/>
      <c r="B517" s="36"/>
      <c r="C517" s="11"/>
      <c r="D517" s="37"/>
      <c r="E517" s="36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56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</row>
    <row r="518" spans="1:63" ht="30" customHeight="1">
      <c r="A518" s="12"/>
      <c r="B518" s="38"/>
      <c r="C518" s="12"/>
      <c r="D518" s="39"/>
      <c r="E518" s="38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57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</row>
    <row r="519" spans="1:63" ht="30" customHeight="1">
      <c r="A519" s="13"/>
      <c r="B519" s="40"/>
      <c r="C519" s="13"/>
      <c r="D519" s="41"/>
      <c r="E519" s="40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57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</row>
    <row r="520" spans="1:63" ht="30" customHeight="1">
      <c r="A520" s="12"/>
      <c r="B520" s="38"/>
      <c r="C520" s="12"/>
      <c r="D520" s="39"/>
      <c r="E520" s="38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57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</row>
    <row r="521" spans="1:63" ht="30" customHeight="1">
      <c r="A521" s="14"/>
      <c r="B521" s="44"/>
      <c r="C521" s="14"/>
      <c r="D521" s="43"/>
      <c r="E521" s="4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57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</row>
    <row r="522" spans="1:63" ht="30" customHeight="1">
      <c r="A522" s="12"/>
      <c r="B522" s="38"/>
      <c r="C522" s="12"/>
      <c r="D522" s="39"/>
      <c r="E522" s="38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57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</row>
    <row r="523" spans="1:63" ht="30" customHeight="1">
      <c r="A523" s="11"/>
      <c r="B523" s="36"/>
      <c r="C523" s="11"/>
      <c r="D523" s="37"/>
      <c r="E523" s="36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56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</row>
    <row r="524" spans="1:63" ht="30" customHeight="1">
      <c r="A524" s="12"/>
      <c r="B524" s="38"/>
      <c r="C524" s="12"/>
      <c r="D524" s="39"/>
      <c r="E524" s="38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57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</row>
    <row r="525" spans="1:63" ht="30" customHeight="1">
      <c r="A525" s="13"/>
      <c r="B525" s="40"/>
      <c r="C525" s="13"/>
      <c r="D525" s="41"/>
      <c r="E525" s="40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57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</row>
    <row r="526" spans="1:63" ht="30" customHeight="1">
      <c r="A526" s="12"/>
      <c r="B526" s="38"/>
      <c r="C526" s="12"/>
      <c r="D526" s="39"/>
      <c r="E526" s="38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57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</row>
    <row r="527" spans="1:63" ht="30" customHeight="1">
      <c r="A527" s="14"/>
      <c r="B527" s="44"/>
      <c r="C527" s="14"/>
      <c r="D527" s="43"/>
      <c r="E527" s="4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57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</row>
    <row r="528" spans="1:63" ht="30" customHeight="1">
      <c r="A528" s="12"/>
      <c r="B528" s="38"/>
      <c r="C528" s="12"/>
      <c r="D528" s="39"/>
      <c r="E528" s="38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57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</row>
    <row r="529" spans="1:63" ht="30" customHeight="1">
      <c r="A529" s="11"/>
      <c r="B529" s="36"/>
      <c r="C529" s="11"/>
      <c r="D529" s="37"/>
      <c r="E529" s="36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56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</row>
    <row r="530" spans="1:63" ht="30" customHeight="1">
      <c r="A530" s="12"/>
      <c r="B530" s="38"/>
      <c r="C530" s="12"/>
      <c r="D530" s="39"/>
      <c r="E530" s="38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57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</row>
    <row r="531" spans="1:63" ht="30" customHeight="1">
      <c r="A531" s="13"/>
      <c r="B531" s="40"/>
      <c r="C531" s="13"/>
      <c r="D531" s="41"/>
      <c r="E531" s="40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57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</row>
    <row r="532" spans="1:63" ht="30" customHeight="1">
      <c r="A532" s="12"/>
      <c r="B532" s="38"/>
      <c r="C532" s="12"/>
      <c r="D532" s="39"/>
      <c r="E532" s="38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57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</row>
    <row r="533" spans="1:63" ht="30" customHeight="1">
      <c r="A533" s="14"/>
      <c r="B533" s="44"/>
      <c r="C533" s="14"/>
      <c r="D533" s="43"/>
      <c r="E533" s="4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57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</row>
    <row r="534" spans="1:63" ht="30" customHeight="1">
      <c r="A534" s="12"/>
      <c r="B534" s="38"/>
      <c r="C534" s="12"/>
      <c r="D534" s="39"/>
      <c r="E534" s="38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57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</row>
    <row r="535" spans="1:63" ht="30" customHeight="1">
      <c r="A535" s="11"/>
      <c r="B535" s="36"/>
      <c r="C535" s="11"/>
      <c r="D535" s="37"/>
      <c r="E535" s="36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56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</row>
    <row r="536" spans="1:63" ht="30" customHeight="1">
      <c r="A536" s="12"/>
      <c r="B536" s="38"/>
      <c r="C536" s="12"/>
      <c r="D536" s="39"/>
      <c r="E536" s="38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57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</row>
    <row r="537" spans="1:63" ht="30" customHeight="1">
      <c r="A537" s="13"/>
      <c r="B537" s="40"/>
      <c r="C537" s="13"/>
      <c r="D537" s="41"/>
      <c r="E537" s="40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57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</row>
    <row r="538" spans="1:63" ht="30" customHeight="1">
      <c r="A538" s="12"/>
      <c r="B538" s="38"/>
      <c r="C538" s="12"/>
      <c r="D538" s="39"/>
      <c r="E538" s="38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57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</row>
    <row r="539" spans="1:63" ht="30" customHeight="1">
      <c r="A539" s="14"/>
      <c r="B539" s="44"/>
      <c r="C539" s="14"/>
      <c r="D539" s="43"/>
      <c r="E539" s="4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57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</row>
    <row r="540" spans="1:63" ht="30" customHeight="1">
      <c r="A540" s="12"/>
      <c r="B540" s="38"/>
      <c r="C540" s="12"/>
      <c r="D540" s="39"/>
      <c r="E540" s="38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57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</row>
    <row r="541" spans="1:63" ht="30" customHeight="1">
      <c r="A541" s="11"/>
      <c r="B541" s="36"/>
      <c r="C541" s="11"/>
      <c r="D541" s="37"/>
      <c r="E541" s="36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56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</row>
    <row r="542" spans="1:63" ht="30" customHeight="1">
      <c r="A542" s="12"/>
      <c r="B542" s="38"/>
      <c r="C542" s="12"/>
      <c r="D542" s="39"/>
      <c r="E542" s="38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57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</row>
    <row r="543" spans="1:63" ht="30" customHeight="1">
      <c r="A543" s="13"/>
      <c r="B543" s="40"/>
      <c r="C543" s="13"/>
      <c r="D543" s="41"/>
      <c r="E543" s="40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57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</row>
    <row r="544" spans="1:63" ht="30" customHeight="1">
      <c r="A544" s="12"/>
      <c r="B544" s="38"/>
      <c r="C544" s="12"/>
      <c r="D544" s="39"/>
      <c r="E544" s="38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57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</row>
    <row r="545" spans="1:63" ht="30" customHeight="1">
      <c r="A545" s="14"/>
      <c r="B545" s="44"/>
      <c r="C545" s="14"/>
      <c r="D545" s="43"/>
      <c r="E545" s="4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57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</row>
    <row r="546" spans="1:63" ht="30" customHeight="1">
      <c r="A546" s="12"/>
      <c r="B546" s="38"/>
      <c r="C546" s="12"/>
      <c r="D546" s="39"/>
      <c r="E546" s="38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57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</row>
    <row r="547" spans="1:63" ht="30" customHeight="1">
      <c r="A547" s="11"/>
      <c r="B547" s="36"/>
      <c r="C547" s="11"/>
      <c r="D547" s="37"/>
      <c r="E547" s="36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56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</row>
    <row r="548" spans="1:63" ht="30" customHeight="1">
      <c r="A548" s="12"/>
      <c r="B548" s="38"/>
      <c r="C548" s="12"/>
      <c r="D548" s="39"/>
      <c r="E548" s="38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57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</row>
    <row r="549" spans="1:63" ht="30" customHeight="1">
      <c r="A549" s="13"/>
      <c r="B549" s="40"/>
      <c r="C549" s="13"/>
      <c r="D549" s="41"/>
      <c r="E549" s="40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57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</row>
    <row r="550" spans="1:63" ht="30" customHeight="1">
      <c r="A550" s="12"/>
      <c r="B550" s="38"/>
      <c r="C550" s="12"/>
      <c r="D550" s="39"/>
      <c r="E550" s="38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57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</row>
    <row r="551" spans="1:63" ht="30" customHeight="1">
      <c r="A551" s="14"/>
      <c r="B551" s="44"/>
      <c r="C551" s="14"/>
      <c r="D551" s="43"/>
      <c r="E551" s="4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57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</row>
    <row r="552" spans="1:63" ht="30" customHeight="1">
      <c r="B552" s="62"/>
      <c r="C552" s="16"/>
      <c r="D552" s="63"/>
      <c r="E552" s="64"/>
      <c r="F552" s="16"/>
      <c r="V552" s="2"/>
    </row>
    <row r="553" spans="1:63" ht="30" customHeight="1">
      <c r="B553" s="62"/>
      <c r="C553" s="16"/>
      <c r="D553" s="63"/>
      <c r="E553" s="64"/>
      <c r="F553" s="16"/>
      <c r="V553" s="2"/>
    </row>
    <row r="554" spans="1:63" ht="30" customHeight="1">
      <c r="B554" s="62"/>
      <c r="C554" s="16"/>
      <c r="D554" s="63"/>
      <c r="E554" s="64"/>
      <c r="F554" s="16"/>
      <c r="V554" s="2"/>
    </row>
    <row r="555" spans="1:63" ht="30" customHeight="1">
      <c r="B555" s="62"/>
      <c r="C555" s="16"/>
      <c r="D555" s="63"/>
      <c r="E555" s="64"/>
      <c r="F555" s="16"/>
      <c r="V555" s="2"/>
    </row>
    <row r="556" spans="1:63" ht="30" customHeight="1">
      <c r="B556" s="62"/>
      <c r="C556" s="16"/>
      <c r="D556" s="63"/>
      <c r="E556" s="64"/>
      <c r="F556" s="16"/>
      <c r="V556" s="2"/>
    </row>
    <row r="557" spans="1:63" ht="30" customHeight="1">
      <c r="B557" s="62"/>
      <c r="C557" s="16"/>
      <c r="D557" s="63"/>
      <c r="E557" s="64"/>
      <c r="F557" s="16"/>
      <c r="V557" s="2"/>
    </row>
    <row r="558" spans="1:63" ht="30" customHeight="1">
      <c r="B558" s="62"/>
      <c r="C558" s="16"/>
      <c r="D558" s="63"/>
      <c r="E558" s="64"/>
      <c r="F558" s="16"/>
      <c r="V558" s="2"/>
    </row>
    <row r="559" spans="1:63" ht="30" customHeight="1">
      <c r="B559" s="62"/>
      <c r="C559" s="16"/>
      <c r="D559" s="63"/>
      <c r="E559" s="64"/>
      <c r="F559" s="16"/>
      <c r="V559" s="2"/>
    </row>
    <row r="560" spans="1:63" ht="30" customHeight="1">
      <c r="B560" s="62"/>
      <c r="C560" s="16"/>
      <c r="D560" s="63"/>
      <c r="E560" s="64"/>
      <c r="F560" s="16"/>
      <c r="V560" s="2"/>
    </row>
    <row r="561" spans="2:22" ht="30" customHeight="1">
      <c r="B561" s="62"/>
      <c r="C561" s="16"/>
      <c r="D561" s="63"/>
      <c r="E561" s="64"/>
      <c r="F561" s="16"/>
      <c r="V561" s="2"/>
    </row>
    <row r="562" spans="2:22" ht="30" customHeight="1">
      <c r="B562" s="62"/>
      <c r="C562" s="16"/>
      <c r="D562" s="63"/>
      <c r="E562" s="64"/>
      <c r="F562" s="16"/>
      <c r="V562" s="2"/>
    </row>
    <row r="563" spans="2:22" ht="30" customHeight="1">
      <c r="B563" s="62"/>
      <c r="C563" s="16"/>
      <c r="D563" s="63"/>
      <c r="E563" s="64"/>
      <c r="F563" s="16"/>
      <c r="V563" s="2"/>
    </row>
    <row r="564" spans="2:22" ht="30" customHeight="1">
      <c r="B564" s="62"/>
      <c r="C564" s="16"/>
      <c r="D564" s="63"/>
      <c r="E564" s="64"/>
      <c r="F564" s="16"/>
      <c r="V564" s="2"/>
    </row>
    <row r="565" spans="2:22" ht="30" customHeight="1">
      <c r="B565" s="62"/>
      <c r="C565" s="16"/>
      <c r="D565" s="63"/>
      <c r="E565" s="64"/>
      <c r="F565" s="16"/>
      <c r="V565" s="2"/>
    </row>
    <row r="566" spans="2:22" ht="30" customHeight="1">
      <c r="B566" s="62"/>
      <c r="C566" s="16"/>
      <c r="D566" s="63"/>
      <c r="E566" s="64"/>
      <c r="F566" s="16"/>
      <c r="V566" s="2"/>
    </row>
    <row r="567" spans="2:22" ht="30" customHeight="1">
      <c r="B567" s="62"/>
      <c r="C567" s="16"/>
      <c r="D567" s="63"/>
      <c r="E567" s="64"/>
      <c r="F567" s="16"/>
      <c r="V567" s="2"/>
    </row>
    <row r="568" spans="2:22" ht="30" customHeight="1">
      <c r="B568" s="62"/>
      <c r="C568" s="16"/>
      <c r="D568" s="63"/>
      <c r="E568" s="64"/>
      <c r="F568" s="16"/>
      <c r="V568" s="2"/>
    </row>
    <row r="569" spans="2:22" ht="30" customHeight="1">
      <c r="B569" s="62"/>
      <c r="C569" s="16"/>
      <c r="D569" s="63"/>
      <c r="E569" s="64"/>
      <c r="F569" s="16"/>
      <c r="V569" s="2"/>
    </row>
    <row r="570" spans="2:22" ht="30" customHeight="1">
      <c r="B570" s="62"/>
      <c r="C570" s="16"/>
      <c r="D570" s="63"/>
      <c r="E570" s="64"/>
      <c r="F570" s="16"/>
      <c r="V570" s="2"/>
    </row>
    <row r="571" spans="2:22" ht="30" customHeight="1">
      <c r="B571" s="62"/>
      <c r="C571" s="16"/>
      <c r="D571" s="63"/>
      <c r="E571" s="64"/>
      <c r="F571" s="16"/>
      <c r="V571" s="2"/>
    </row>
    <row r="572" spans="2:22" ht="30" customHeight="1">
      <c r="B572" s="62"/>
      <c r="C572" s="16"/>
      <c r="D572" s="63"/>
      <c r="E572" s="64"/>
      <c r="F572" s="16"/>
      <c r="V572" s="2"/>
    </row>
    <row r="573" spans="2:22" ht="30" customHeight="1">
      <c r="B573" s="62"/>
      <c r="C573" s="16"/>
      <c r="D573" s="63"/>
      <c r="E573" s="64"/>
      <c r="F573" s="16"/>
      <c r="V573" s="2"/>
    </row>
    <row r="574" spans="2:22" ht="30" customHeight="1">
      <c r="B574" s="62"/>
      <c r="C574" s="16"/>
      <c r="D574" s="63"/>
      <c r="E574" s="64"/>
      <c r="F574" s="16"/>
      <c r="V574" s="2"/>
    </row>
    <row r="575" spans="2:22" ht="30" customHeight="1">
      <c r="B575" s="62"/>
      <c r="C575" s="16"/>
      <c r="D575" s="63"/>
      <c r="E575" s="64"/>
      <c r="F575" s="16"/>
      <c r="V575" s="2"/>
    </row>
    <row r="576" spans="2:22" ht="30" customHeight="1">
      <c r="B576" s="62"/>
      <c r="C576" s="16"/>
      <c r="D576" s="63"/>
      <c r="E576" s="64"/>
      <c r="F576" s="16"/>
      <c r="V576" s="2"/>
    </row>
    <row r="577" spans="2:22" ht="30" customHeight="1">
      <c r="B577" s="62"/>
      <c r="C577" s="16"/>
      <c r="D577" s="63"/>
      <c r="E577" s="64"/>
      <c r="F577" s="16"/>
      <c r="V577" s="2"/>
    </row>
    <row r="578" spans="2:22" ht="30" customHeight="1">
      <c r="B578" s="62"/>
      <c r="C578" s="16"/>
      <c r="D578" s="63"/>
      <c r="E578" s="64"/>
      <c r="F578" s="16"/>
      <c r="V578" s="2"/>
    </row>
    <row r="579" spans="2:22" ht="30" customHeight="1">
      <c r="B579" s="62"/>
      <c r="C579" s="16"/>
      <c r="D579" s="63"/>
      <c r="E579" s="64"/>
      <c r="F579" s="16"/>
      <c r="V579" s="2"/>
    </row>
    <row r="580" spans="2:22" ht="30" customHeight="1">
      <c r="B580" s="62"/>
      <c r="C580" s="16"/>
      <c r="D580" s="63"/>
      <c r="E580" s="64"/>
      <c r="F580" s="16"/>
      <c r="V580" s="2"/>
    </row>
    <row r="581" spans="2:22" ht="30" customHeight="1">
      <c r="B581" s="62"/>
      <c r="C581" s="16"/>
      <c r="D581" s="63"/>
      <c r="E581" s="64"/>
      <c r="F581" s="16"/>
      <c r="V581" s="2"/>
    </row>
    <row r="582" spans="2:22" ht="30" customHeight="1">
      <c r="B582" s="62"/>
      <c r="C582" s="16"/>
      <c r="D582" s="63"/>
      <c r="E582" s="64"/>
      <c r="F582" s="16"/>
      <c r="V582" s="2"/>
    </row>
    <row r="583" spans="2:22" ht="30" customHeight="1">
      <c r="B583" s="62"/>
      <c r="C583" s="16"/>
      <c r="D583" s="63"/>
      <c r="E583" s="64"/>
      <c r="F583" s="16"/>
      <c r="V583" s="2"/>
    </row>
    <row r="584" spans="2:22" ht="30" customHeight="1">
      <c r="B584" s="62"/>
      <c r="C584" s="16"/>
      <c r="D584" s="63"/>
      <c r="E584" s="64"/>
      <c r="F584" s="16"/>
      <c r="V584" s="2"/>
    </row>
    <row r="585" spans="2:22" ht="30" customHeight="1">
      <c r="B585" s="62"/>
      <c r="C585" s="16"/>
      <c r="D585" s="63"/>
      <c r="E585" s="64"/>
      <c r="F585" s="16"/>
      <c r="V585" s="2"/>
    </row>
    <row r="586" spans="2:22" ht="30" customHeight="1">
      <c r="B586" s="62"/>
      <c r="C586" s="16"/>
      <c r="D586" s="63"/>
      <c r="E586" s="64"/>
      <c r="F586" s="16"/>
      <c r="V586" s="2"/>
    </row>
    <row r="587" spans="2:22" ht="30" customHeight="1">
      <c r="B587" s="62"/>
      <c r="C587" s="16"/>
      <c r="D587" s="63"/>
      <c r="E587" s="64"/>
      <c r="F587" s="16"/>
      <c r="V587" s="2"/>
    </row>
    <row r="588" spans="2:22" ht="30" customHeight="1">
      <c r="B588" s="62"/>
      <c r="C588" s="16"/>
      <c r="D588" s="63"/>
      <c r="E588" s="64"/>
      <c r="F588" s="16"/>
      <c r="V588" s="2"/>
    </row>
    <row r="589" spans="2:22" ht="30" customHeight="1">
      <c r="B589" s="62"/>
      <c r="C589" s="16"/>
      <c r="D589" s="63"/>
      <c r="E589" s="64"/>
      <c r="F589" s="16"/>
      <c r="V589" s="2"/>
    </row>
    <row r="590" spans="2:22" ht="30" customHeight="1">
      <c r="B590" s="62"/>
      <c r="C590" s="16"/>
      <c r="D590" s="63"/>
      <c r="E590" s="64"/>
      <c r="F590" s="16"/>
      <c r="V590" s="2"/>
    </row>
    <row r="591" spans="2:22" ht="30" customHeight="1">
      <c r="B591" s="62"/>
      <c r="C591" s="16"/>
      <c r="D591" s="63"/>
      <c r="E591" s="64"/>
      <c r="F591" s="16"/>
      <c r="V591" s="2"/>
    </row>
    <row r="592" spans="2:22" ht="30" customHeight="1">
      <c r="B592" s="62"/>
      <c r="C592" s="16"/>
      <c r="D592" s="63"/>
      <c r="E592" s="64"/>
      <c r="F592" s="16"/>
      <c r="V592" s="2"/>
    </row>
    <row r="593" spans="2:22" ht="30" customHeight="1">
      <c r="B593" s="62"/>
      <c r="C593" s="16"/>
      <c r="D593" s="63"/>
      <c r="E593" s="64"/>
      <c r="F593" s="16"/>
      <c r="V593" s="2"/>
    </row>
    <row r="594" spans="2:22" ht="30" customHeight="1">
      <c r="B594" s="62"/>
      <c r="C594" s="16"/>
      <c r="D594" s="63"/>
      <c r="E594" s="64"/>
      <c r="F594" s="16"/>
      <c r="V594" s="2"/>
    </row>
    <row r="595" spans="2:22" ht="30" customHeight="1">
      <c r="B595" s="62"/>
      <c r="C595" s="16"/>
      <c r="D595" s="63"/>
      <c r="E595" s="64"/>
      <c r="F595" s="16"/>
      <c r="V595" s="2"/>
    </row>
    <row r="596" spans="2:22" ht="30" customHeight="1">
      <c r="B596" s="62"/>
      <c r="C596" s="16"/>
      <c r="D596" s="63"/>
      <c r="E596" s="64"/>
      <c r="F596" s="16"/>
      <c r="V596" s="2"/>
    </row>
    <row r="597" spans="2:22" ht="30" customHeight="1">
      <c r="B597" s="62"/>
      <c r="C597" s="16"/>
      <c r="D597" s="63"/>
      <c r="E597" s="64"/>
      <c r="F597" s="16"/>
      <c r="V597" s="2"/>
    </row>
    <row r="598" spans="2:22" ht="30" customHeight="1">
      <c r="B598" s="62"/>
      <c r="C598" s="16"/>
      <c r="D598" s="63"/>
      <c r="E598" s="64"/>
      <c r="F598" s="16"/>
      <c r="V598" s="2"/>
    </row>
    <row r="599" spans="2:22" ht="30" customHeight="1">
      <c r="B599" s="62"/>
      <c r="C599" s="16"/>
      <c r="D599" s="63"/>
      <c r="E599" s="64"/>
      <c r="F599" s="16"/>
      <c r="V599" s="2"/>
    </row>
    <row r="600" spans="2:22" ht="30" customHeight="1">
      <c r="B600" s="62"/>
      <c r="C600" s="16"/>
      <c r="D600" s="63"/>
      <c r="E600" s="64"/>
      <c r="F600" s="16"/>
      <c r="V600" s="2"/>
    </row>
    <row r="601" spans="2:22" ht="30" customHeight="1">
      <c r="B601" s="62"/>
      <c r="C601" s="16"/>
      <c r="D601" s="63"/>
      <c r="E601" s="64"/>
      <c r="F601" s="16"/>
      <c r="V601" s="2"/>
    </row>
    <row r="602" spans="2:22" ht="30" customHeight="1">
      <c r="B602" s="62"/>
      <c r="C602" s="16"/>
      <c r="D602" s="63"/>
      <c r="E602" s="64"/>
      <c r="F602" s="16"/>
      <c r="V602" s="2"/>
    </row>
    <row r="603" spans="2:22" ht="30" customHeight="1">
      <c r="B603" s="62"/>
      <c r="C603" s="16"/>
      <c r="D603" s="63"/>
      <c r="E603" s="64"/>
      <c r="F603" s="16"/>
      <c r="V603" s="2"/>
    </row>
    <row r="604" spans="2:22" ht="30" customHeight="1">
      <c r="B604" s="62"/>
      <c r="C604" s="16"/>
      <c r="D604" s="63"/>
      <c r="E604" s="64"/>
      <c r="F604" s="16"/>
      <c r="V604" s="2"/>
    </row>
    <row r="605" spans="2:22" ht="30" customHeight="1">
      <c r="B605" s="62"/>
      <c r="C605" s="16"/>
      <c r="D605" s="63"/>
      <c r="E605" s="64"/>
      <c r="F605" s="16"/>
      <c r="V605" s="2"/>
    </row>
    <row r="606" spans="2:22" ht="30" customHeight="1">
      <c r="B606" s="62"/>
      <c r="C606" s="16"/>
      <c r="D606" s="63"/>
      <c r="E606" s="64"/>
      <c r="F606" s="16"/>
      <c r="V606" s="2"/>
    </row>
    <row r="607" spans="2:22" ht="30" customHeight="1">
      <c r="B607" s="62"/>
      <c r="C607" s="16"/>
      <c r="D607" s="63"/>
      <c r="E607" s="64"/>
      <c r="F607" s="16"/>
      <c r="V607" s="2"/>
    </row>
    <row r="608" spans="2:22" ht="30" customHeight="1">
      <c r="B608" s="62"/>
      <c r="C608" s="16"/>
      <c r="D608" s="63"/>
      <c r="E608" s="64"/>
      <c r="F608" s="16"/>
      <c r="V608" s="2"/>
    </row>
    <row r="609" spans="2:22" ht="30" customHeight="1">
      <c r="B609" s="62"/>
      <c r="C609" s="16"/>
      <c r="D609" s="63"/>
      <c r="E609" s="64"/>
      <c r="F609" s="16"/>
      <c r="V609" s="2"/>
    </row>
    <row r="610" spans="2:22" ht="30" customHeight="1">
      <c r="B610" s="62"/>
      <c r="C610" s="16"/>
      <c r="D610" s="63"/>
      <c r="E610" s="64"/>
      <c r="F610" s="16"/>
      <c r="V610" s="2"/>
    </row>
    <row r="611" spans="2:22" ht="30" customHeight="1">
      <c r="B611" s="62"/>
      <c r="C611" s="16"/>
      <c r="D611" s="63"/>
      <c r="E611" s="64"/>
      <c r="F611" s="16"/>
      <c r="V611" s="2"/>
    </row>
    <row r="612" spans="2:22" ht="30" customHeight="1">
      <c r="B612" s="62"/>
      <c r="C612" s="16"/>
      <c r="D612" s="63"/>
      <c r="E612" s="64"/>
      <c r="F612" s="16"/>
      <c r="V612" s="2"/>
    </row>
    <row r="613" spans="2:22" ht="30" customHeight="1">
      <c r="B613" s="62"/>
      <c r="C613" s="16"/>
      <c r="D613" s="63"/>
      <c r="E613" s="64"/>
      <c r="F613" s="16"/>
      <c r="V613" s="2"/>
    </row>
    <row r="614" spans="2:22" ht="30" customHeight="1">
      <c r="B614" s="62"/>
      <c r="C614" s="16"/>
      <c r="D614" s="63"/>
      <c r="E614" s="64"/>
      <c r="F614" s="16"/>
      <c r="V614" s="2"/>
    </row>
    <row r="615" spans="2:22" ht="30" customHeight="1">
      <c r="B615" s="62"/>
      <c r="C615" s="16"/>
      <c r="D615" s="63"/>
      <c r="E615" s="64"/>
      <c r="F615" s="16"/>
      <c r="V615" s="2"/>
    </row>
    <row r="616" spans="2:22" ht="30" customHeight="1">
      <c r="B616" s="62"/>
      <c r="C616" s="16"/>
      <c r="D616" s="63"/>
      <c r="E616" s="64"/>
      <c r="F616" s="16"/>
      <c r="V616" s="2"/>
    </row>
    <row r="617" spans="2:22" ht="30" customHeight="1">
      <c r="B617" s="62"/>
      <c r="C617" s="16"/>
      <c r="D617" s="63"/>
      <c r="E617" s="64"/>
      <c r="F617" s="16"/>
      <c r="V617" s="2"/>
    </row>
    <row r="618" spans="2:22" ht="30" customHeight="1">
      <c r="B618" s="62"/>
      <c r="C618" s="16"/>
      <c r="D618" s="63"/>
      <c r="E618" s="64"/>
      <c r="F618" s="16"/>
      <c r="V618" s="2"/>
    </row>
    <row r="619" spans="2:22" ht="30" customHeight="1">
      <c r="B619" s="62"/>
      <c r="C619" s="16"/>
      <c r="D619" s="63"/>
      <c r="E619" s="64"/>
      <c r="F619" s="16"/>
      <c r="V619" s="2"/>
    </row>
    <row r="620" spans="2:22" ht="30" customHeight="1">
      <c r="B620" s="62"/>
      <c r="C620" s="16"/>
      <c r="D620" s="63"/>
      <c r="E620" s="64"/>
      <c r="F620" s="16"/>
      <c r="V620" s="2"/>
    </row>
    <row r="621" spans="2:22" ht="30" customHeight="1">
      <c r="B621" s="62"/>
      <c r="C621" s="16"/>
      <c r="D621" s="63"/>
      <c r="E621" s="64"/>
      <c r="F621" s="16"/>
      <c r="V621" s="2"/>
    </row>
    <row r="622" spans="2:22" ht="30" customHeight="1">
      <c r="B622" s="62"/>
      <c r="C622" s="16"/>
      <c r="D622" s="63"/>
      <c r="E622" s="64"/>
      <c r="F622" s="16"/>
      <c r="V622" s="2"/>
    </row>
    <row r="623" spans="2:22" ht="30" customHeight="1">
      <c r="B623" s="62"/>
      <c r="C623" s="16"/>
      <c r="D623" s="63"/>
      <c r="E623" s="64"/>
      <c r="F623" s="16"/>
      <c r="V623" s="2"/>
    </row>
    <row r="624" spans="2:22" ht="30" customHeight="1">
      <c r="B624" s="62"/>
      <c r="C624" s="16"/>
      <c r="D624" s="63"/>
      <c r="E624" s="64"/>
      <c r="F624" s="16"/>
      <c r="V624" s="2"/>
    </row>
    <row r="625" spans="2:22" ht="30" customHeight="1">
      <c r="B625" s="62"/>
      <c r="C625" s="16"/>
      <c r="D625" s="63"/>
      <c r="E625" s="64"/>
      <c r="F625" s="16"/>
      <c r="V625" s="2"/>
    </row>
    <row r="626" spans="2:22" ht="30" customHeight="1">
      <c r="B626" s="62"/>
      <c r="C626" s="16"/>
      <c r="D626" s="63"/>
      <c r="E626" s="64"/>
      <c r="F626" s="16"/>
      <c r="V626" s="2"/>
    </row>
    <row r="627" spans="2:22" ht="30" customHeight="1">
      <c r="B627" s="62"/>
      <c r="C627" s="16"/>
      <c r="D627" s="63"/>
      <c r="E627" s="64"/>
      <c r="F627" s="16"/>
      <c r="V627" s="2"/>
    </row>
    <row r="628" spans="2:22" ht="30" customHeight="1">
      <c r="B628" s="62"/>
      <c r="C628" s="16"/>
      <c r="D628" s="63"/>
      <c r="E628" s="64"/>
      <c r="F628" s="16"/>
      <c r="V628" s="2"/>
    </row>
    <row r="629" spans="2:22" ht="30" customHeight="1">
      <c r="B629" s="62"/>
      <c r="C629" s="16"/>
      <c r="D629" s="63"/>
      <c r="E629" s="64"/>
      <c r="F629" s="16"/>
      <c r="V629" s="2"/>
    </row>
    <row r="630" spans="2:22" ht="30" customHeight="1">
      <c r="B630" s="62"/>
      <c r="C630" s="16"/>
      <c r="D630" s="63"/>
      <c r="E630" s="64"/>
      <c r="F630" s="16"/>
      <c r="V630" s="2"/>
    </row>
    <row r="631" spans="2:22" ht="30" customHeight="1">
      <c r="B631" s="62"/>
      <c r="C631" s="16"/>
      <c r="D631" s="63"/>
      <c r="E631" s="64"/>
      <c r="F631" s="16"/>
      <c r="V631" s="2"/>
    </row>
    <row r="632" spans="2:22" ht="30" customHeight="1">
      <c r="B632" s="62"/>
      <c r="C632" s="16"/>
      <c r="D632" s="63"/>
      <c r="E632" s="64"/>
      <c r="F632" s="16"/>
      <c r="V632" s="2"/>
    </row>
    <row r="633" spans="2:22" ht="30" customHeight="1">
      <c r="B633" s="62"/>
      <c r="C633" s="16"/>
      <c r="D633" s="63"/>
      <c r="E633" s="64"/>
      <c r="F633" s="16"/>
      <c r="V633" s="2"/>
    </row>
    <row r="634" spans="2:22" ht="30" customHeight="1">
      <c r="B634" s="62"/>
      <c r="C634" s="16"/>
      <c r="D634" s="63"/>
      <c r="E634" s="64"/>
      <c r="F634" s="16"/>
      <c r="V634" s="2"/>
    </row>
    <row r="635" spans="2:22" ht="30" customHeight="1">
      <c r="B635" s="62"/>
      <c r="C635" s="16"/>
      <c r="D635" s="63"/>
      <c r="E635" s="64"/>
      <c r="F635" s="16"/>
      <c r="V635" s="2"/>
    </row>
    <row r="636" spans="2:22" ht="30" customHeight="1">
      <c r="B636" s="62"/>
      <c r="C636" s="16"/>
      <c r="D636" s="63"/>
      <c r="E636" s="64"/>
      <c r="F636" s="16"/>
      <c r="V636" s="2"/>
    </row>
    <row r="637" spans="2:22" ht="30" customHeight="1">
      <c r="B637" s="62"/>
      <c r="C637" s="16"/>
      <c r="D637" s="63"/>
      <c r="E637" s="64"/>
      <c r="F637" s="16"/>
      <c r="V637" s="2"/>
    </row>
    <row r="638" spans="2:22" ht="30" customHeight="1">
      <c r="B638" s="62"/>
      <c r="C638" s="16"/>
      <c r="D638" s="63"/>
      <c r="E638" s="64"/>
      <c r="F638" s="16"/>
      <c r="V638" s="2"/>
    </row>
    <row r="639" spans="2:22" ht="30" customHeight="1">
      <c r="B639" s="62"/>
      <c r="C639" s="16"/>
      <c r="D639" s="63"/>
      <c r="E639" s="64"/>
      <c r="F639" s="16"/>
      <c r="V639" s="2"/>
    </row>
    <row r="640" spans="2:22" ht="30" customHeight="1">
      <c r="B640" s="62"/>
      <c r="C640" s="16"/>
      <c r="D640" s="63"/>
      <c r="E640" s="64"/>
      <c r="F640" s="16"/>
      <c r="V640" s="2"/>
    </row>
    <row r="641" spans="2:22" ht="30" customHeight="1">
      <c r="B641" s="62"/>
      <c r="C641" s="16"/>
      <c r="D641" s="63"/>
      <c r="E641" s="64"/>
      <c r="F641" s="16"/>
      <c r="V641" s="2"/>
    </row>
    <row r="642" spans="2:22" ht="30" customHeight="1">
      <c r="B642" s="62"/>
      <c r="C642" s="16"/>
      <c r="D642" s="63"/>
      <c r="E642" s="64"/>
      <c r="F642" s="16"/>
      <c r="V642" s="2"/>
    </row>
    <row r="643" spans="2:22" ht="30" customHeight="1">
      <c r="B643" s="62"/>
      <c r="C643" s="16"/>
      <c r="D643" s="63"/>
      <c r="E643" s="64"/>
      <c r="F643" s="16"/>
      <c r="V643" s="2"/>
    </row>
    <row r="644" spans="2:22" ht="30" customHeight="1">
      <c r="B644" s="62"/>
      <c r="C644" s="16"/>
      <c r="D644" s="63"/>
      <c r="E644" s="64"/>
      <c r="F644" s="16"/>
      <c r="V644" s="2"/>
    </row>
    <row r="645" spans="2:22" ht="30" customHeight="1">
      <c r="B645" s="62"/>
      <c r="C645" s="16"/>
      <c r="D645" s="63"/>
      <c r="E645" s="64"/>
      <c r="F645" s="16"/>
      <c r="V645" s="2"/>
    </row>
    <row r="646" spans="2:22" ht="30" customHeight="1">
      <c r="B646" s="62"/>
      <c r="C646" s="16"/>
      <c r="D646" s="63"/>
      <c r="E646" s="64"/>
      <c r="F646" s="16"/>
      <c r="V646" s="2"/>
    </row>
    <row r="647" spans="2:22" ht="30" customHeight="1">
      <c r="B647" s="62"/>
      <c r="C647" s="16"/>
      <c r="D647" s="63"/>
      <c r="E647" s="64"/>
      <c r="F647" s="16"/>
      <c r="V647" s="2"/>
    </row>
    <row r="648" spans="2:22" ht="30" customHeight="1">
      <c r="B648" s="62"/>
      <c r="C648" s="16"/>
      <c r="D648" s="63"/>
      <c r="E648" s="64"/>
      <c r="F648" s="16"/>
      <c r="V648" s="2"/>
    </row>
    <row r="649" spans="2:22" ht="30" customHeight="1">
      <c r="B649" s="62"/>
      <c r="C649" s="16"/>
      <c r="D649" s="63"/>
      <c r="E649" s="64"/>
      <c r="F649" s="16"/>
      <c r="V649" s="2"/>
    </row>
    <row r="650" spans="2:22" ht="30" customHeight="1">
      <c r="B650" s="62"/>
      <c r="C650" s="16"/>
      <c r="D650" s="63"/>
      <c r="E650" s="64"/>
      <c r="F650" s="16"/>
      <c r="V650" s="2"/>
    </row>
    <row r="651" spans="2:22" ht="30" customHeight="1">
      <c r="B651" s="62"/>
      <c r="C651" s="16"/>
      <c r="D651" s="63"/>
      <c r="E651" s="64"/>
      <c r="F651" s="16"/>
      <c r="V651" s="2"/>
    </row>
    <row r="652" spans="2:22" ht="30" customHeight="1">
      <c r="B652" s="62"/>
      <c r="C652" s="16"/>
      <c r="D652" s="63"/>
      <c r="E652" s="64"/>
      <c r="F652" s="16"/>
      <c r="V652" s="2"/>
    </row>
    <row r="653" spans="2:22" ht="30" customHeight="1">
      <c r="B653" s="62"/>
      <c r="C653" s="16"/>
      <c r="D653" s="63"/>
      <c r="E653" s="64"/>
      <c r="F653" s="16"/>
      <c r="V653" s="2"/>
    </row>
    <row r="654" spans="2:22" ht="30" customHeight="1">
      <c r="B654" s="62"/>
      <c r="C654" s="16"/>
      <c r="D654" s="63"/>
      <c r="E654" s="64"/>
      <c r="F654" s="16"/>
      <c r="V654" s="2"/>
    </row>
    <row r="655" spans="2:22" ht="30" customHeight="1">
      <c r="B655" s="62"/>
      <c r="C655" s="16"/>
      <c r="D655" s="63"/>
      <c r="E655" s="64"/>
      <c r="F655" s="16"/>
      <c r="V655" s="2"/>
    </row>
    <row r="656" spans="2:22" ht="30" customHeight="1">
      <c r="B656" s="62"/>
      <c r="C656" s="16"/>
      <c r="D656" s="63"/>
      <c r="E656" s="64"/>
      <c r="F656" s="16"/>
      <c r="V656" s="2"/>
    </row>
    <row r="657" spans="2:22" ht="30" customHeight="1">
      <c r="B657" s="62"/>
      <c r="C657" s="16"/>
      <c r="D657" s="63"/>
      <c r="E657" s="64"/>
      <c r="F657" s="16"/>
      <c r="V657" s="2"/>
    </row>
    <row r="658" spans="2:22" ht="30" customHeight="1">
      <c r="B658" s="62"/>
      <c r="C658" s="16"/>
      <c r="D658" s="63"/>
      <c r="E658" s="64"/>
      <c r="F658" s="16"/>
      <c r="V658" s="2"/>
    </row>
    <row r="659" spans="2:22" ht="30" customHeight="1">
      <c r="B659" s="62"/>
      <c r="C659" s="16"/>
      <c r="D659" s="63"/>
      <c r="E659" s="64"/>
      <c r="F659" s="16"/>
      <c r="V659" s="2"/>
    </row>
    <row r="660" spans="2:22" ht="30" customHeight="1">
      <c r="B660" s="62"/>
      <c r="C660" s="16"/>
      <c r="D660" s="63"/>
      <c r="E660" s="64"/>
      <c r="F660" s="16"/>
      <c r="V660" s="2"/>
    </row>
    <row r="661" spans="2:22" ht="30" customHeight="1">
      <c r="B661" s="62"/>
      <c r="C661" s="16"/>
      <c r="D661" s="63"/>
      <c r="E661" s="64"/>
      <c r="F661" s="16"/>
      <c r="V661" s="2"/>
    </row>
    <row r="662" spans="2:22" ht="30" customHeight="1">
      <c r="B662" s="62"/>
      <c r="C662" s="16"/>
      <c r="D662" s="63"/>
      <c r="E662" s="64"/>
      <c r="F662" s="16"/>
      <c r="V662" s="2"/>
    </row>
    <row r="663" spans="2:22" ht="30" customHeight="1">
      <c r="B663" s="62"/>
      <c r="C663" s="16"/>
      <c r="D663" s="63"/>
      <c r="E663" s="64"/>
      <c r="F663" s="16"/>
      <c r="V663" s="2"/>
    </row>
    <row r="664" spans="2:22" ht="30" customHeight="1">
      <c r="B664" s="62"/>
      <c r="C664" s="16"/>
      <c r="D664" s="63"/>
      <c r="E664" s="64"/>
      <c r="F664" s="16"/>
      <c r="V664" s="2"/>
    </row>
    <row r="665" spans="2:22" ht="30" customHeight="1">
      <c r="B665" s="62"/>
      <c r="C665" s="16"/>
      <c r="D665" s="63"/>
      <c r="E665" s="64"/>
      <c r="F665" s="16"/>
      <c r="V665" s="2"/>
    </row>
    <row r="666" spans="2:22" ht="30" customHeight="1">
      <c r="B666" s="62"/>
      <c r="C666" s="16"/>
      <c r="D666" s="63"/>
      <c r="E666" s="64"/>
      <c r="F666" s="16"/>
      <c r="V666" s="2"/>
    </row>
    <row r="667" spans="2:22" ht="30" customHeight="1">
      <c r="B667" s="62"/>
      <c r="C667" s="16"/>
      <c r="D667" s="63"/>
      <c r="E667" s="64"/>
      <c r="F667" s="16"/>
      <c r="V667" s="2"/>
    </row>
    <row r="668" spans="2:22" ht="30" customHeight="1">
      <c r="B668" s="62"/>
      <c r="C668" s="16"/>
      <c r="D668" s="63"/>
      <c r="E668" s="64"/>
      <c r="F668" s="16"/>
      <c r="V668" s="2"/>
    </row>
    <row r="669" spans="2:22" ht="30" customHeight="1">
      <c r="B669" s="62"/>
      <c r="C669" s="16"/>
      <c r="D669" s="63"/>
      <c r="E669" s="64"/>
      <c r="F669" s="16"/>
      <c r="V669" s="2"/>
    </row>
    <row r="670" spans="2:22" ht="30" customHeight="1">
      <c r="B670" s="62"/>
      <c r="C670" s="16"/>
      <c r="D670" s="63"/>
      <c r="E670" s="64"/>
      <c r="F670" s="16"/>
      <c r="V670" s="2"/>
    </row>
    <row r="671" spans="2:22" ht="30" customHeight="1">
      <c r="B671" s="62"/>
      <c r="C671" s="16"/>
      <c r="D671" s="63"/>
      <c r="E671" s="64"/>
      <c r="F671" s="16"/>
      <c r="V671" s="2"/>
    </row>
    <row r="672" spans="2:22" ht="30" customHeight="1">
      <c r="B672" s="62"/>
      <c r="C672" s="16"/>
      <c r="D672" s="63"/>
      <c r="E672" s="64"/>
      <c r="F672" s="16"/>
      <c r="V672" s="2"/>
    </row>
    <row r="673" spans="2:22" ht="30" customHeight="1">
      <c r="B673" s="62"/>
      <c r="C673" s="16"/>
      <c r="D673" s="63"/>
      <c r="E673" s="64"/>
      <c r="F673" s="16"/>
      <c r="V673" s="2"/>
    </row>
    <row r="674" spans="2:22" ht="30" customHeight="1">
      <c r="B674" s="62"/>
      <c r="C674" s="16"/>
      <c r="D674" s="63"/>
      <c r="E674" s="64"/>
      <c r="F674" s="16"/>
      <c r="V674" s="2"/>
    </row>
    <row r="675" spans="2:22" ht="30" customHeight="1">
      <c r="B675" s="62"/>
      <c r="C675" s="16"/>
      <c r="D675" s="63"/>
      <c r="E675" s="64"/>
      <c r="F675" s="16"/>
      <c r="V675" s="2"/>
    </row>
    <row r="676" spans="2:22" ht="30" customHeight="1">
      <c r="B676" s="62"/>
      <c r="C676" s="16"/>
      <c r="D676" s="63"/>
      <c r="E676" s="64"/>
      <c r="F676" s="16"/>
      <c r="V676" s="2"/>
    </row>
    <row r="677" spans="2:22" ht="30" customHeight="1">
      <c r="B677" s="62"/>
      <c r="C677" s="16"/>
      <c r="D677" s="63"/>
      <c r="E677" s="64"/>
      <c r="F677" s="16"/>
      <c r="V677" s="2"/>
    </row>
    <row r="678" spans="2:22" ht="30" customHeight="1">
      <c r="B678" s="62"/>
      <c r="C678" s="16"/>
      <c r="D678" s="63"/>
      <c r="E678" s="64"/>
      <c r="F678" s="16"/>
      <c r="V678" s="2"/>
    </row>
    <row r="679" spans="2:22" ht="30" customHeight="1">
      <c r="B679" s="62"/>
      <c r="C679" s="16"/>
      <c r="D679" s="63"/>
      <c r="E679" s="64"/>
      <c r="F679" s="16"/>
      <c r="V679" s="2"/>
    </row>
    <row r="680" spans="2:22" ht="30" customHeight="1">
      <c r="B680" s="62"/>
      <c r="C680" s="16"/>
      <c r="D680" s="63"/>
      <c r="E680" s="64"/>
      <c r="F680" s="16"/>
      <c r="V680" s="2"/>
    </row>
    <row r="681" spans="2:22" ht="30" customHeight="1">
      <c r="B681" s="62"/>
      <c r="C681" s="16"/>
      <c r="D681" s="63"/>
      <c r="E681" s="64"/>
      <c r="F681" s="16"/>
      <c r="V681" s="2"/>
    </row>
    <row r="682" spans="2:22" ht="30" customHeight="1">
      <c r="B682" s="62"/>
      <c r="C682" s="16"/>
      <c r="D682" s="63"/>
      <c r="E682" s="64"/>
      <c r="F682" s="16"/>
      <c r="V682" s="2"/>
    </row>
    <row r="683" spans="2:22" ht="30" customHeight="1">
      <c r="B683" s="62"/>
      <c r="C683" s="16"/>
      <c r="D683" s="63"/>
      <c r="E683" s="64"/>
      <c r="F683" s="16"/>
      <c r="V683" s="2"/>
    </row>
    <row r="684" spans="2:22" ht="30" customHeight="1">
      <c r="B684" s="62"/>
      <c r="C684" s="16"/>
      <c r="D684" s="63"/>
      <c r="E684" s="64"/>
      <c r="F684" s="16"/>
      <c r="V684" s="2"/>
    </row>
    <row r="685" spans="2:22" ht="30" customHeight="1">
      <c r="B685" s="62"/>
      <c r="C685" s="16"/>
      <c r="D685" s="63"/>
      <c r="E685" s="64"/>
      <c r="F685" s="16"/>
      <c r="V685" s="2"/>
    </row>
    <row r="686" spans="2:22" ht="30" customHeight="1">
      <c r="B686" s="62"/>
      <c r="C686" s="16"/>
      <c r="D686" s="63"/>
      <c r="E686" s="64"/>
      <c r="F686" s="16"/>
      <c r="V686" s="2"/>
    </row>
    <row r="687" spans="2:22" ht="30" customHeight="1">
      <c r="B687" s="62"/>
      <c r="C687" s="16"/>
      <c r="D687" s="63"/>
      <c r="E687" s="64"/>
      <c r="F687" s="16"/>
      <c r="V687" s="2"/>
    </row>
    <row r="688" spans="2:22" ht="30" customHeight="1">
      <c r="B688" s="62"/>
      <c r="C688" s="16"/>
      <c r="D688" s="63"/>
      <c r="E688" s="64"/>
      <c r="F688" s="16"/>
      <c r="V688" s="2"/>
    </row>
    <row r="689" spans="2:22" ht="30" customHeight="1">
      <c r="B689" s="62"/>
      <c r="C689" s="16"/>
      <c r="D689" s="63"/>
      <c r="E689" s="64"/>
      <c r="F689" s="16"/>
      <c r="V689" s="2"/>
    </row>
    <row r="690" spans="2:22" ht="30" customHeight="1">
      <c r="B690" s="62"/>
      <c r="C690" s="16"/>
      <c r="D690" s="63"/>
      <c r="E690" s="64"/>
      <c r="F690" s="16"/>
      <c r="V690" s="2"/>
    </row>
    <row r="691" spans="2:22" ht="30" customHeight="1">
      <c r="B691" s="62"/>
      <c r="C691" s="16"/>
      <c r="D691" s="63"/>
      <c r="E691" s="64"/>
      <c r="F691" s="16"/>
      <c r="V691" s="2"/>
    </row>
    <row r="692" spans="2:22" ht="30" customHeight="1">
      <c r="B692" s="62"/>
      <c r="C692" s="16"/>
      <c r="D692" s="63"/>
      <c r="E692" s="64"/>
      <c r="F692" s="16"/>
      <c r="V692" s="2"/>
    </row>
    <row r="693" spans="2:22" ht="30" customHeight="1">
      <c r="B693" s="62"/>
      <c r="C693" s="16"/>
      <c r="D693" s="63"/>
      <c r="E693" s="64"/>
      <c r="F693" s="16"/>
      <c r="V693" s="2"/>
    </row>
    <row r="694" spans="2:22" ht="30" customHeight="1">
      <c r="B694" s="62"/>
      <c r="C694" s="16"/>
      <c r="D694" s="63"/>
      <c r="E694" s="64"/>
      <c r="F694" s="16"/>
      <c r="V694" s="2"/>
    </row>
    <row r="695" spans="2:22" ht="30" customHeight="1">
      <c r="B695" s="62"/>
      <c r="C695" s="16"/>
      <c r="D695" s="63"/>
      <c r="E695" s="64"/>
      <c r="F695" s="16"/>
      <c r="V695" s="2"/>
    </row>
    <row r="696" spans="2:22" ht="30" customHeight="1">
      <c r="B696" s="62"/>
      <c r="C696" s="16"/>
      <c r="D696" s="63"/>
      <c r="E696" s="64"/>
      <c r="F696" s="16"/>
      <c r="V696" s="2"/>
    </row>
    <row r="697" spans="2:22" ht="30" customHeight="1">
      <c r="B697" s="62"/>
      <c r="C697" s="16"/>
      <c r="D697" s="63"/>
      <c r="E697" s="64"/>
      <c r="F697" s="16"/>
      <c r="V697" s="2"/>
    </row>
    <row r="698" spans="2:22" ht="30" customHeight="1">
      <c r="B698" s="62"/>
      <c r="C698" s="16"/>
      <c r="D698" s="63"/>
      <c r="E698" s="64"/>
      <c r="F698" s="16"/>
      <c r="V698" s="2"/>
    </row>
    <row r="699" spans="2:22" ht="30" customHeight="1">
      <c r="B699" s="62"/>
      <c r="C699" s="16"/>
      <c r="D699" s="63"/>
      <c r="E699" s="64"/>
      <c r="F699" s="16"/>
      <c r="V699" s="2"/>
    </row>
    <row r="700" spans="2:22" ht="30" customHeight="1">
      <c r="B700" s="62"/>
      <c r="C700" s="16"/>
      <c r="D700" s="63"/>
      <c r="E700" s="64"/>
      <c r="F700" s="16"/>
      <c r="V700" s="2"/>
    </row>
    <row r="701" spans="2:22" ht="30" customHeight="1">
      <c r="B701" s="62"/>
      <c r="C701" s="16"/>
      <c r="D701" s="63"/>
      <c r="E701" s="64"/>
      <c r="F701" s="16"/>
      <c r="V701" s="2"/>
    </row>
    <row r="702" spans="2:22" ht="30" customHeight="1">
      <c r="B702" s="62"/>
      <c r="C702" s="16"/>
      <c r="D702" s="63"/>
      <c r="E702" s="64"/>
      <c r="F702" s="16"/>
      <c r="V702" s="2"/>
    </row>
    <row r="703" spans="2:22" ht="30" customHeight="1">
      <c r="B703" s="62"/>
      <c r="C703" s="16"/>
      <c r="D703" s="63"/>
      <c r="E703" s="64"/>
      <c r="F703" s="16"/>
      <c r="V703" s="2"/>
    </row>
    <row r="704" spans="2:22" ht="30" customHeight="1">
      <c r="B704" s="62"/>
      <c r="C704" s="16"/>
      <c r="D704" s="63"/>
      <c r="E704" s="64"/>
      <c r="F704" s="16"/>
      <c r="V704" s="2"/>
    </row>
    <row r="705" spans="2:22" ht="30" customHeight="1">
      <c r="B705" s="62"/>
      <c r="C705" s="16"/>
      <c r="D705" s="63"/>
      <c r="E705" s="64"/>
      <c r="F705" s="16"/>
      <c r="V705" s="2"/>
    </row>
    <row r="706" spans="2:22" ht="30" customHeight="1">
      <c r="B706" s="62"/>
      <c r="C706" s="16"/>
      <c r="D706" s="63"/>
      <c r="E706" s="64"/>
      <c r="F706" s="16"/>
      <c r="V706" s="2"/>
    </row>
    <row r="707" spans="2:22" ht="30" customHeight="1">
      <c r="B707" s="62"/>
      <c r="C707" s="16"/>
      <c r="D707" s="63"/>
      <c r="E707" s="64"/>
      <c r="F707" s="16"/>
      <c r="V707" s="2"/>
    </row>
    <row r="708" spans="2:22" ht="30" customHeight="1">
      <c r="B708" s="62"/>
      <c r="C708" s="16"/>
      <c r="D708" s="63"/>
      <c r="E708" s="64"/>
      <c r="F708" s="16"/>
      <c r="V708" s="2"/>
    </row>
    <row r="709" spans="2:22" ht="30" customHeight="1">
      <c r="B709" s="62"/>
      <c r="C709" s="16"/>
      <c r="D709" s="63"/>
      <c r="E709" s="64"/>
      <c r="F709" s="16"/>
      <c r="V709" s="2"/>
    </row>
    <row r="710" spans="2:22" ht="30" customHeight="1">
      <c r="B710" s="62"/>
      <c r="C710" s="16"/>
      <c r="D710" s="63"/>
      <c r="E710" s="64"/>
      <c r="F710" s="16"/>
      <c r="V710" s="2"/>
    </row>
    <row r="711" spans="2:22" ht="30" customHeight="1">
      <c r="B711" s="62"/>
      <c r="C711" s="16"/>
      <c r="D711" s="63"/>
      <c r="E711" s="64"/>
      <c r="F711" s="16"/>
      <c r="V711" s="2"/>
    </row>
    <row r="712" spans="2:22" ht="30" customHeight="1">
      <c r="B712" s="62"/>
      <c r="C712" s="16"/>
      <c r="D712" s="63"/>
      <c r="E712" s="64"/>
      <c r="F712" s="16"/>
      <c r="V712" s="2"/>
    </row>
    <row r="713" spans="2:22" ht="30" customHeight="1">
      <c r="B713" s="62"/>
      <c r="C713" s="16"/>
      <c r="D713" s="63"/>
      <c r="E713" s="64"/>
      <c r="F713" s="16"/>
      <c r="V713" s="2"/>
    </row>
    <row r="714" spans="2:22" ht="30" customHeight="1">
      <c r="B714" s="62"/>
      <c r="C714" s="16"/>
      <c r="D714" s="63"/>
      <c r="E714" s="64"/>
      <c r="F714" s="16"/>
      <c r="V714" s="2"/>
    </row>
    <row r="715" spans="2:22" ht="30" customHeight="1">
      <c r="B715" s="62"/>
      <c r="C715" s="16"/>
      <c r="D715" s="63"/>
      <c r="E715" s="64"/>
      <c r="F715" s="16"/>
      <c r="V715" s="2"/>
    </row>
    <row r="716" spans="2:22" ht="30" customHeight="1">
      <c r="B716" s="62"/>
      <c r="C716" s="16"/>
      <c r="D716" s="63"/>
      <c r="E716" s="64"/>
      <c r="F716" s="16"/>
      <c r="V716" s="2"/>
    </row>
    <row r="717" spans="2:22" ht="30" customHeight="1">
      <c r="B717" s="62"/>
      <c r="C717" s="16"/>
      <c r="D717" s="63"/>
      <c r="E717" s="64"/>
      <c r="F717" s="16"/>
      <c r="V717" s="2"/>
    </row>
    <row r="718" spans="2:22" ht="30" customHeight="1">
      <c r="B718" s="62"/>
      <c r="C718" s="16"/>
      <c r="D718" s="63"/>
      <c r="E718" s="64"/>
      <c r="F718" s="16"/>
      <c r="V718" s="2"/>
    </row>
    <row r="719" spans="2:22" ht="30" customHeight="1">
      <c r="B719" s="62"/>
      <c r="C719" s="16"/>
      <c r="D719" s="63"/>
      <c r="E719" s="64"/>
      <c r="F719" s="16"/>
      <c r="V719" s="2"/>
    </row>
    <row r="720" spans="2:22" ht="30" customHeight="1">
      <c r="B720" s="62"/>
      <c r="C720" s="16"/>
      <c r="D720" s="63"/>
      <c r="E720" s="64"/>
      <c r="F720" s="16"/>
      <c r="V720" s="2"/>
    </row>
    <row r="721" spans="2:22" ht="30" customHeight="1">
      <c r="B721" s="62"/>
      <c r="C721" s="16"/>
      <c r="D721" s="63"/>
      <c r="E721" s="64"/>
      <c r="F721" s="16"/>
      <c r="V721" s="2"/>
    </row>
    <row r="722" spans="2:22" ht="30" customHeight="1">
      <c r="B722" s="62"/>
      <c r="C722" s="16"/>
      <c r="D722" s="63"/>
      <c r="E722" s="64"/>
      <c r="F722" s="16"/>
      <c r="V722" s="2"/>
    </row>
    <row r="723" spans="2:22" ht="30" customHeight="1">
      <c r="B723" s="62"/>
      <c r="C723" s="16"/>
      <c r="D723" s="63"/>
      <c r="E723" s="64"/>
      <c r="F723" s="16"/>
      <c r="V723" s="2"/>
    </row>
    <row r="724" spans="2:22" ht="30" customHeight="1">
      <c r="B724" s="62"/>
      <c r="C724" s="16"/>
      <c r="D724" s="63"/>
      <c r="E724" s="64"/>
      <c r="F724" s="16"/>
      <c r="V724" s="2"/>
    </row>
    <row r="725" spans="2:22" ht="30" customHeight="1">
      <c r="B725" s="62"/>
      <c r="C725" s="16"/>
      <c r="D725" s="63"/>
      <c r="E725" s="64"/>
      <c r="F725" s="16"/>
      <c r="V725" s="2"/>
    </row>
    <row r="726" spans="2:22" ht="30" customHeight="1">
      <c r="B726" s="62"/>
      <c r="C726" s="16"/>
      <c r="D726" s="63"/>
      <c r="E726" s="64"/>
      <c r="F726" s="16"/>
      <c r="V726" s="2"/>
    </row>
    <row r="727" spans="2:22" ht="30" customHeight="1">
      <c r="B727" s="62"/>
      <c r="C727" s="16"/>
      <c r="D727" s="63"/>
      <c r="E727" s="64"/>
      <c r="F727" s="16"/>
      <c r="V727" s="2"/>
    </row>
    <row r="728" spans="2:22" ht="30" customHeight="1">
      <c r="B728" s="62"/>
      <c r="C728" s="16"/>
      <c r="D728" s="63"/>
      <c r="E728" s="64"/>
      <c r="F728" s="16"/>
      <c r="V728" s="2"/>
    </row>
    <row r="729" spans="2:22" ht="30" customHeight="1">
      <c r="B729" s="62"/>
      <c r="C729" s="16"/>
      <c r="D729" s="63"/>
      <c r="E729" s="64"/>
      <c r="F729" s="16"/>
      <c r="V729" s="2"/>
    </row>
    <row r="730" spans="2:22" ht="30" customHeight="1">
      <c r="B730" s="62"/>
      <c r="C730" s="16"/>
      <c r="D730" s="63"/>
      <c r="E730" s="64"/>
      <c r="F730" s="16"/>
      <c r="V730" s="2"/>
    </row>
    <row r="731" spans="2:22" ht="30" customHeight="1">
      <c r="B731" s="62"/>
      <c r="C731" s="16"/>
      <c r="D731" s="63"/>
      <c r="E731" s="64"/>
      <c r="F731" s="16"/>
      <c r="V731" s="2"/>
    </row>
    <row r="732" spans="2:22" ht="30" customHeight="1">
      <c r="B732" s="62"/>
      <c r="C732" s="16"/>
      <c r="D732" s="63"/>
      <c r="E732" s="64"/>
      <c r="F732" s="16"/>
      <c r="V732" s="2"/>
    </row>
    <row r="733" spans="2:22" ht="30" customHeight="1">
      <c r="B733" s="62"/>
      <c r="C733" s="16"/>
      <c r="D733" s="63"/>
      <c r="E733" s="64"/>
      <c r="F733" s="16"/>
      <c r="V733" s="2"/>
    </row>
    <row r="734" spans="2:22" ht="30" customHeight="1">
      <c r="B734" s="62"/>
      <c r="C734" s="16"/>
      <c r="D734" s="63"/>
      <c r="E734" s="64"/>
      <c r="F734" s="16"/>
      <c r="V734" s="2"/>
    </row>
    <row r="735" spans="2:22" ht="30" customHeight="1">
      <c r="B735" s="62"/>
      <c r="C735" s="16"/>
      <c r="D735" s="63"/>
      <c r="E735" s="64"/>
      <c r="F735" s="16"/>
      <c r="V735" s="2"/>
    </row>
    <row r="736" spans="2:22" ht="30" customHeight="1">
      <c r="B736" s="62"/>
      <c r="C736" s="16"/>
      <c r="D736" s="63"/>
      <c r="E736" s="64"/>
      <c r="F736" s="16"/>
      <c r="V736" s="2"/>
    </row>
    <row r="737" spans="2:22" ht="30" customHeight="1">
      <c r="B737" s="62"/>
      <c r="C737" s="16"/>
      <c r="D737" s="63"/>
      <c r="E737" s="64"/>
      <c r="F737" s="16"/>
      <c r="V737" s="2"/>
    </row>
    <row r="738" spans="2:22" ht="30" customHeight="1">
      <c r="B738" s="62"/>
      <c r="C738" s="16"/>
      <c r="D738" s="63"/>
      <c r="E738" s="64"/>
      <c r="F738" s="16"/>
      <c r="V738" s="2"/>
    </row>
    <row r="739" spans="2:22" ht="30" customHeight="1">
      <c r="B739" s="62"/>
      <c r="C739" s="16"/>
      <c r="D739" s="63"/>
      <c r="E739" s="64"/>
      <c r="F739" s="16"/>
      <c r="V739" s="2"/>
    </row>
    <row r="740" spans="2:22" ht="30" customHeight="1">
      <c r="B740" s="62"/>
      <c r="C740" s="16"/>
      <c r="D740" s="63"/>
      <c r="E740" s="64"/>
      <c r="F740" s="16"/>
      <c r="V740" s="2"/>
    </row>
    <row r="741" spans="2:22" ht="30" customHeight="1">
      <c r="B741" s="62"/>
      <c r="C741" s="16"/>
      <c r="D741" s="63"/>
      <c r="E741" s="64"/>
      <c r="F741" s="16"/>
      <c r="V741" s="2"/>
    </row>
    <row r="742" spans="2:22" ht="30" customHeight="1">
      <c r="B742" s="62"/>
      <c r="C742" s="16"/>
      <c r="D742" s="63"/>
      <c r="E742" s="64"/>
      <c r="F742" s="16"/>
      <c r="V742" s="2"/>
    </row>
    <row r="743" spans="2:22" ht="30" customHeight="1">
      <c r="B743" s="62"/>
      <c r="C743" s="16"/>
      <c r="D743" s="63"/>
      <c r="E743" s="64"/>
      <c r="F743" s="16"/>
      <c r="V743" s="2"/>
    </row>
    <row r="744" spans="2:22" ht="30" customHeight="1">
      <c r="B744" s="62"/>
      <c r="C744" s="16"/>
      <c r="D744" s="63"/>
      <c r="E744" s="64"/>
      <c r="F744" s="16"/>
      <c r="V744" s="2"/>
    </row>
    <row r="745" spans="2:22" ht="30" customHeight="1">
      <c r="B745" s="62"/>
      <c r="C745" s="16"/>
      <c r="D745" s="63"/>
      <c r="E745" s="64"/>
      <c r="F745" s="16"/>
      <c r="V745" s="2"/>
    </row>
    <row r="746" spans="2:22" ht="30" customHeight="1">
      <c r="B746" s="62"/>
      <c r="C746" s="16"/>
      <c r="D746" s="63"/>
      <c r="E746" s="64"/>
      <c r="F746" s="16"/>
      <c r="V746" s="2"/>
    </row>
    <row r="747" spans="2:22" ht="30" customHeight="1">
      <c r="B747" s="62"/>
      <c r="C747" s="16"/>
      <c r="D747" s="63"/>
      <c r="E747" s="64"/>
      <c r="F747" s="16"/>
      <c r="V747" s="2"/>
    </row>
    <row r="748" spans="2:22" ht="30" customHeight="1">
      <c r="B748" s="62"/>
      <c r="C748" s="16"/>
      <c r="D748" s="63"/>
      <c r="E748" s="64"/>
      <c r="F748" s="16"/>
      <c r="V748" s="2"/>
    </row>
    <row r="749" spans="2:22" ht="30" customHeight="1">
      <c r="B749" s="62"/>
      <c r="C749" s="16"/>
      <c r="D749" s="63"/>
      <c r="E749" s="64"/>
      <c r="F749" s="16"/>
      <c r="V749" s="2"/>
    </row>
    <row r="750" spans="2:22" ht="30" customHeight="1">
      <c r="B750" s="62"/>
      <c r="C750" s="16"/>
      <c r="D750" s="63"/>
      <c r="E750" s="64"/>
      <c r="F750" s="16"/>
      <c r="V750" s="2"/>
    </row>
    <row r="751" spans="2:22" ht="30" customHeight="1">
      <c r="B751" s="62"/>
      <c r="C751" s="16"/>
      <c r="D751" s="63"/>
      <c r="E751" s="64"/>
      <c r="F751" s="16"/>
      <c r="V751" s="2"/>
    </row>
    <row r="752" spans="2:22" ht="30" customHeight="1">
      <c r="B752" s="62"/>
      <c r="C752" s="16"/>
      <c r="D752" s="63"/>
      <c r="E752" s="64"/>
      <c r="F752" s="16"/>
      <c r="V752" s="2"/>
    </row>
    <row r="753" spans="2:22" ht="30" customHeight="1">
      <c r="B753" s="62"/>
      <c r="C753" s="16"/>
      <c r="D753" s="63"/>
      <c r="E753" s="64"/>
      <c r="F753" s="16"/>
      <c r="V753" s="2"/>
    </row>
    <row r="754" spans="2:22" ht="30" customHeight="1">
      <c r="B754" s="62"/>
      <c r="C754" s="16"/>
      <c r="D754" s="63"/>
      <c r="E754" s="64"/>
      <c r="F754" s="16"/>
      <c r="V754" s="2"/>
    </row>
    <row r="755" spans="2:22" ht="30" customHeight="1">
      <c r="B755" s="62"/>
      <c r="C755" s="16"/>
      <c r="D755" s="63"/>
      <c r="E755" s="64"/>
      <c r="F755" s="16"/>
      <c r="V755" s="2"/>
    </row>
    <row r="756" spans="2:22" ht="30" customHeight="1">
      <c r="B756" s="62"/>
      <c r="C756" s="16"/>
      <c r="D756" s="63"/>
      <c r="E756" s="64"/>
      <c r="F756" s="16"/>
      <c r="V756" s="2"/>
    </row>
    <row r="757" spans="2:22" ht="30" customHeight="1">
      <c r="B757" s="62"/>
      <c r="C757" s="16"/>
      <c r="D757" s="63"/>
      <c r="E757" s="64"/>
      <c r="F757" s="16"/>
      <c r="V757" s="2"/>
    </row>
    <row r="758" spans="2:22" ht="30" customHeight="1">
      <c r="B758" s="62"/>
      <c r="C758" s="16"/>
      <c r="D758" s="63"/>
      <c r="E758" s="64"/>
      <c r="F758" s="16"/>
      <c r="V758" s="2"/>
    </row>
    <row r="759" spans="2:22" ht="30" customHeight="1">
      <c r="B759" s="62"/>
      <c r="C759" s="16"/>
      <c r="D759" s="63"/>
      <c r="E759" s="64"/>
      <c r="F759" s="16"/>
      <c r="V759" s="2"/>
    </row>
    <row r="760" spans="2:22" ht="30" customHeight="1">
      <c r="B760" s="62"/>
      <c r="C760" s="16"/>
      <c r="D760" s="63"/>
      <c r="E760" s="64"/>
      <c r="F760" s="16"/>
      <c r="V760" s="2"/>
    </row>
    <row r="761" spans="2:22" ht="30" customHeight="1">
      <c r="B761" s="62"/>
      <c r="C761" s="16"/>
      <c r="D761" s="63"/>
      <c r="E761" s="64"/>
      <c r="F761" s="16"/>
      <c r="V761" s="2"/>
    </row>
    <row r="762" spans="2:22" ht="30" customHeight="1">
      <c r="B762" s="62"/>
      <c r="C762" s="16"/>
      <c r="D762" s="63"/>
      <c r="E762" s="64"/>
      <c r="F762" s="16"/>
      <c r="V762" s="2"/>
    </row>
    <row r="763" spans="2:22" ht="30" customHeight="1">
      <c r="B763" s="62"/>
      <c r="C763" s="16"/>
      <c r="D763" s="63"/>
      <c r="E763" s="64"/>
      <c r="F763" s="16"/>
      <c r="V763" s="2"/>
    </row>
    <row r="764" spans="2:22" ht="30" customHeight="1">
      <c r="B764" s="62"/>
      <c r="C764" s="16"/>
      <c r="D764" s="63"/>
      <c r="E764" s="64"/>
      <c r="F764" s="16"/>
      <c r="V764" s="2"/>
    </row>
    <row r="765" spans="2:22" ht="30" customHeight="1">
      <c r="B765" s="62"/>
      <c r="C765" s="16"/>
      <c r="D765" s="63"/>
      <c r="E765" s="64"/>
      <c r="F765" s="16"/>
      <c r="V765" s="2"/>
    </row>
    <row r="766" spans="2:22" ht="30" customHeight="1">
      <c r="B766" s="62"/>
      <c r="C766" s="16"/>
      <c r="D766" s="63"/>
      <c r="E766" s="64"/>
      <c r="F766" s="16"/>
      <c r="V766" s="2"/>
    </row>
    <row r="767" spans="2:22" ht="30" customHeight="1">
      <c r="B767" s="62"/>
      <c r="C767" s="16"/>
      <c r="D767" s="63"/>
      <c r="E767" s="64"/>
      <c r="F767" s="16"/>
      <c r="V767" s="2"/>
    </row>
    <row r="768" spans="2:22" ht="30" customHeight="1">
      <c r="B768" s="62"/>
      <c r="C768" s="16"/>
      <c r="D768" s="63"/>
      <c r="E768" s="64"/>
      <c r="F768" s="16"/>
      <c r="V768" s="2"/>
    </row>
    <row r="769" spans="2:22" ht="30" customHeight="1">
      <c r="B769" s="62"/>
      <c r="C769" s="16"/>
      <c r="D769" s="63"/>
      <c r="E769" s="64"/>
      <c r="F769" s="16"/>
      <c r="V769" s="2"/>
    </row>
    <row r="770" spans="2:22" ht="30" customHeight="1">
      <c r="B770" s="62"/>
      <c r="C770" s="16"/>
      <c r="D770" s="63"/>
      <c r="E770" s="64"/>
      <c r="F770" s="16"/>
      <c r="V770" s="2"/>
    </row>
    <row r="771" spans="2:22" ht="30" customHeight="1">
      <c r="B771" s="62"/>
      <c r="C771" s="16"/>
      <c r="D771" s="63"/>
      <c r="E771" s="64"/>
      <c r="F771" s="16"/>
      <c r="V771" s="2"/>
    </row>
    <row r="772" spans="2:22" ht="30" customHeight="1">
      <c r="B772" s="62"/>
      <c r="C772" s="16"/>
      <c r="D772" s="63"/>
      <c r="E772" s="64"/>
      <c r="F772" s="16"/>
      <c r="V772" s="2"/>
    </row>
    <row r="773" spans="2:22" ht="30" customHeight="1">
      <c r="B773" s="62"/>
      <c r="C773" s="16"/>
      <c r="D773" s="63"/>
      <c r="E773" s="64"/>
      <c r="F773" s="16"/>
      <c r="V773" s="2"/>
    </row>
    <row r="774" spans="2:22" ht="30" customHeight="1">
      <c r="B774" s="62"/>
      <c r="C774" s="16"/>
      <c r="D774" s="63"/>
      <c r="E774" s="64"/>
      <c r="F774" s="16"/>
      <c r="V774" s="2"/>
    </row>
    <row r="775" spans="2:22" ht="30" customHeight="1">
      <c r="B775" s="62"/>
      <c r="C775" s="16"/>
      <c r="D775" s="63"/>
      <c r="E775" s="64"/>
      <c r="F775" s="16"/>
      <c r="V775" s="2"/>
    </row>
    <row r="776" spans="2:22" ht="30" customHeight="1">
      <c r="B776" s="62"/>
      <c r="C776" s="16"/>
      <c r="D776" s="63"/>
      <c r="E776" s="64"/>
      <c r="F776" s="16"/>
      <c r="V776" s="2"/>
    </row>
    <row r="777" spans="2:22" ht="30" customHeight="1">
      <c r="B777" s="62"/>
      <c r="C777" s="16"/>
      <c r="D777" s="63"/>
      <c r="E777" s="64"/>
      <c r="F777" s="16"/>
      <c r="V777" s="2"/>
    </row>
    <row r="778" spans="2:22" ht="30" customHeight="1">
      <c r="B778" s="62"/>
      <c r="C778" s="16"/>
      <c r="D778" s="63"/>
      <c r="E778" s="64"/>
      <c r="F778" s="16"/>
      <c r="V778" s="2"/>
    </row>
    <row r="779" spans="2:22" ht="30" customHeight="1">
      <c r="B779" s="62"/>
      <c r="C779" s="16"/>
      <c r="D779" s="63"/>
      <c r="E779" s="64"/>
      <c r="F779" s="16"/>
      <c r="V779" s="2"/>
    </row>
    <row r="780" spans="2:22" ht="30" customHeight="1">
      <c r="B780" s="62"/>
      <c r="C780" s="16"/>
      <c r="D780" s="63"/>
      <c r="E780" s="64"/>
      <c r="F780" s="16"/>
      <c r="V780" s="2"/>
    </row>
    <row r="781" spans="2:22" ht="30" customHeight="1">
      <c r="B781" s="62"/>
      <c r="C781" s="16"/>
      <c r="D781" s="63"/>
      <c r="E781" s="64"/>
      <c r="F781" s="16"/>
      <c r="V781" s="2"/>
    </row>
    <row r="782" spans="2:22" ht="30" customHeight="1">
      <c r="B782" s="62"/>
      <c r="C782" s="16"/>
      <c r="D782" s="63"/>
      <c r="E782" s="64"/>
      <c r="F782" s="16"/>
      <c r="V782" s="2"/>
    </row>
    <row r="783" spans="2:22" ht="30" customHeight="1">
      <c r="B783" s="62"/>
      <c r="C783" s="16"/>
      <c r="D783" s="63"/>
      <c r="E783" s="64"/>
      <c r="F783" s="16"/>
      <c r="V783" s="2"/>
    </row>
    <row r="784" spans="2:22" ht="30" customHeight="1">
      <c r="B784" s="62"/>
      <c r="C784" s="16"/>
      <c r="D784" s="63"/>
      <c r="E784" s="64"/>
      <c r="F784" s="16"/>
      <c r="V784" s="2"/>
    </row>
    <row r="785" spans="2:22" ht="30" customHeight="1">
      <c r="B785" s="62"/>
      <c r="C785" s="16"/>
      <c r="D785" s="63"/>
      <c r="E785" s="64"/>
      <c r="F785" s="16"/>
      <c r="V785" s="2"/>
    </row>
    <row r="786" spans="2:22" ht="30" customHeight="1">
      <c r="B786" s="62"/>
      <c r="C786" s="16"/>
      <c r="D786" s="63"/>
      <c r="E786" s="64"/>
      <c r="F786" s="16"/>
      <c r="V786" s="2"/>
    </row>
    <row r="787" spans="2:22" ht="30" customHeight="1">
      <c r="B787" s="62"/>
      <c r="C787" s="16"/>
      <c r="D787" s="63"/>
      <c r="E787" s="64"/>
      <c r="F787" s="16"/>
      <c r="V787" s="2"/>
    </row>
    <row r="788" spans="2:22" ht="30" customHeight="1">
      <c r="B788" s="62"/>
      <c r="C788" s="16"/>
      <c r="D788" s="63"/>
      <c r="E788" s="64"/>
      <c r="F788" s="16"/>
      <c r="V788" s="2"/>
    </row>
    <row r="789" spans="2:22" ht="30" customHeight="1">
      <c r="B789" s="62"/>
      <c r="C789" s="16"/>
      <c r="D789" s="63"/>
      <c r="E789" s="64"/>
      <c r="F789" s="16"/>
      <c r="V789" s="2"/>
    </row>
    <row r="790" spans="2:22" ht="30" customHeight="1">
      <c r="B790" s="62"/>
      <c r="C790" s="16"/>
      <c r="D790" s="63"/>
      <c r="E790" s="64"/>
      <c r="F790" s="16"/>
      <c r="V790" s="2"/>
    </row>
    <row r="791" spans="2:22" ht="30" customHeight="1">
      <c r="B791" s="62"/>
      <c r="C791" s="16"/>
      <c r="D791" s="63"/>
      <c r="E791" s="64"/>
      <c r="F791" s="16"/>
      <c r="V791" s="2"/>
    </row>
    <row r="792" spans="2:22" ht="30" customHeight="1">
      <c r="B792" s="62"/>
      <c r="C792" s="16"/>
      <c r="D792" s="63"/>
      <c r="E792" s="64"/>
      <c r="F792" s="16"/>
      <c r="V792" s="2"/>
    </row>
    <row r="793" spans="2:22" ht="30" customHeight="1">
      <c r="B793" s="62"/>
      <c r="C793" s="16"/>
      <c r="D793" s="63"/>
      <c r="E793" s="64"/>
      <c r="F793" s="16"/>
      <c r="V793" s="2"/>
    </row>
    <row r="794" spans="2:22" ht="30" customHeight="1">
      <c r="B794" s="62"/>
      <c r="C794" s="16"/>
      <c r="D794" s="63"/>
      <c r="E794" s="64"/>
      <c r="F794" s="16"/>
      <c r="V794" s="2"/>
    </row>
    <row r="795" spans="2:22" ht="30" customHeight="1">
      <c r="B795" s="62"/>
      <c r="C795" s="16"/>
      <c r="D795" s="63"/>
      <c r="E795" s="64"/>
      <c r="F795" s="16"/>
      <c r="V795" s="2"/>
    </row>
    <row r="796" spans="2:22" ht="30" customHeight="1">
      <c r="B796" s="62"/>
      <c r="C796" s="16"/>
      <c r="D796" s="63"/>
      <c r="E796" s="64"/>
      <c r="F796" s="16"/>
      <c r="V796" s="2"/>
    </row>
    <row r="797" spans="2:22" ht="30" customHeight="1">
      <c r="B797" s="62"/>
      <c r="C797" s="16"/>
      <c r="D797" s="63"/>
      <c r="E797" s="64"/>
      <c r="F797" s="16"/>
      <c r="V797" s="2"/>
    </row>
    <row r="798" spans="2:22" ht="30" customHeight="1">
      <c r="B798" s="62"/>
      <c r="C798" s="16"/>
      <c r="D798" s="63"/>
      <c r="E798" s="64"/>
      <c r="F798" s="16"/>
      <c r="V798" s="2"/>
    </row>
    <row r="799" spans="2:22" ht="30" customHeight="1">
      <c r="B799" s="62"/>
      <c r="C799" s="16"/>
      <c r="D799" s="63"/>
      <c r="E799" s="64"/>
      <c r="F799" s="16"/>
      <c r="V799" s="2"/>
    </row>
    <row r="800" spans="2:22" ht="30" customHeight="1">
      <c r="B800" s="62"/>
      <c r="C800" s="16"/>
      <c r="D800" s="63"/>
      <c r="E800" s="64"/>
      <c r="F800" s="16"/>
      <c r="V800" s="2"/>
    </row>
    <row r="801" spans="2:22" ht="30" customHeight="1">
      <c r="B801" s="62"/>
      <c r="C801" s="16"/>
      <c r="D801" s="63"/>
      <c r="E801" s="64"/>
      <c r="F801" s="16"/>
      <c r="V801" s="2"/>
    </row>
    <row r="802" spans="2:22" ht="30" customHeight="1">
      <c r="B802" s="62"/>
      <c r="C802" s="16"/>
      <c r="D802" s="63"/>
      <c r="E802" s="64"/>
      <c r="F802" s="16"/>
      <c r="V802" s="2"/>
    </row>
    <row r="803" spans="2:22" ht="30" customHeight="1">
      <c r="B803" s="62"/>
      <c r="C803" s="16"/>
      <c r="D803" s="63"/>
      <c r="E803" s="64"/>
      <c r="F803" s="16"/>
      <c r="V803" s="2"/>
    </row>
    <row r="804" spans="2:22" ht="30" customHeight="1">
      <c r="B804" s="62"/>
      <c r="C804" s="16"/>
      <c r="D804" s="63"/>
      <c r="E804" s="64"/>
      <c r="F804" s="16"/>
      <c r="V804" s="2"/>
    </row>
    <row r="805" spans="2:22" ht="30" customHeight="1">
      <c r="B805" s="62"/>
      <c r="C805" s="16"/>
      <c r="D805" s="63"/>
      <c r="E805" s="64"/>
      <c r="F805" s="16"/>
      <c r="V805" s="2"/>
    </row>
    <row r="806" spans="2:22" ht="30" customHeight="1">
      <c r="B806" s="62"/>
      <c r="C806" s="16"/>
      <c r="D806" s="63"/>
      <c r="E806" s="64"/>
      <c r="F806" s="16"/>
      <c r="V806" s="2"/>
    </row>
    <row r="807" spans="2:22" ht="30" customHeight="1">
      <c r="B807" s="62"/>
      <c r="C807" s="16"/>
      <c r="D807" s="63"/>
      <c r="E807" s="64"/>
      <c r="F807" s="16"/>
      <c r="V807" s="2"/>
    </row>
    <row r="808" spans="2:22" ht="30" customHeight="1">
      <c r="B808" s="62"/>
      <c r="C808" s="16"/>
      <c r="D808" s="63"/>
      <c r="E808" s="64"/>
      <c r="F808" s="16"/>
      <c r="V808" s="2"/>
    </row>
    <row r="809" spans="2:22" ht="30" customHeight="1">
      <c r="B809" s="62"/>
      <c r="C809" s="16"/>
      <c r="D809" s="63"/>
      <c r="E809" s="64"/>
      <c r="F809" s="16"/>
      <c r="V809" s="2"/>
    </row>
    <row r="810" spans="2:22" ht="30" customHeight="1">
      <c r="B810" s="62"/>
      <c r="C810" s="16"/>
      <c r="D810" s="63"/>
      <c r="E810" s="64"/>
      <c r="F810" s="16"/>
      <c r="V810" s="2"/>
    </row>
    <row r="811" spans="2:22" ht="30" customHeight="1">
      <c r="B811" s="62"/>
      <c r="C811" s="16"/>
      <c r="D811" s="63"/>
      <c r="E811" s="64"/>
      <c r="F811" s="16"/>
      <c r="V811" s="2"/>
    </row>
    <row r="812" spans="2:22" ht="30" customHeight="1">
      <c r="B812" s="62"/>
      <c r="C812" s="16"/>
      <c r="D812" s="63"/>
      <c r="E812" s="64"/>
      <c r="F812" s="16"/>
      <c r="V812" s="2"/>
    </row>
    <row r="813" spans="2:22" ht="30" customHeight="1">
      <c r="B813" s="62"/>
      <c r="C813" s="16"/>
      <c r="D813" s="63"/>
      <c r="E813" s="64"/>
      <c r="F813" s="16"/>
      <c r="V813" s="2"/>
    </row>
    <row r="814" spans="2:22" ht="30" customHeight="1">
      <c r="B814" s="62"/>
      <c r="C814" s="16"/>
      <c r="D814" s="63"/>
      <c r="E814" s="64"/>
      <c r="F814" s="16"/>
      <c r="V814" s="2"/>
    </row>
    <row r="815" spans="2:22" ht="30" customHeight="1">
      <c r="B815" s="62"/>
      <c r="C815" s="16"/>
      <c r="D815" s="63"/>
      <c r="E815" s="64"/>
      <c r="F815" s="16"/>
      <c r="V815" s="2"/>
    </row>
    <row r="816" spans="2:22" ht="30" customHeight="1">
      <c r="B816" s="62"/>
      <c r="C816" s="16"/>
      <c r="D816" s="63"/>
      <c r="E816" s="64"/>
      <c r="F816" s="16"/>
      <c r="V816" s="2"/>
    </row>
    <row r="817" spans="2:22" ht="30" customHeight="1">
      <c r="B817" s="62"/>
      <c r="C817" s="16"/>
      <c r="D817" s="63"/>
      <c r="E817" s="64"/>
      <c r="F817" s="16"/>
      <c r="V817" s="2"/>
    </row>
    <row r="818" spans="2:22" ht="30" customHeight="1">
      <c r="B818" s="62"/>
      <c r="C818" s="16"/>
      <c r="D818" s="63"/>
      <c r="E818" s="64"/>
      <c r="F818" s="16"/>
      <c r="V818" s="2"/>
    </row>
    <row r="819" spans="2:22" ht="30" customHeight="1">
      <c r="B819" s="62"/>
      <c r="C819" s="16"/>
      <c r="D819" s="63"/>
      <c r="E819" s="64"/>
      <c r="F819" s="16"/>
      <c r="V819" s="2"/>
    </row>
    <row r="820" spans="2:22" ht="30" customHeight="1">
      <c r="B820" s="62"/>
      <c r="C820" s="16"/>
      <c r="D820" s="63"/>
      <c r="E820" s="64"/>
      <c r="F820" s="16"/>
      <c r="V820" s="2"/>
    </row>
    <row r="821" spans="2:22" ht="30" customHeight="1">
      <c r="B821" s="62"/>
      <c r="C821" s="16"/>
      <c r="D821" s="63"/>
      <c r="E821" s="64"/>
      <c r="F821" s="16"/>
      <c r="V821" s="2"/>
    </row>
    <row r="822" spans="2:22" ht="30" customHeight="1">
      <c r="B822" s="62"/>
      <c r="C822" s="16"/>
      <c r="D822" s="63"/>
      <c r="E822" s="64"/>
      <c r="F822" s="16"/>
      <c r="V822" s="2"/>
    </row>
    <row r="823" spans="2:22" ht="30" customHeight="1">
      <c r="B823" s="62"/>
      <c r="C823" s="16"/>
      <c r="D823" s="63"/>
      <c r="E823" s="64"/>
      <c r="F823" s="16"/>
      <c r="V823" s="2"/>
    </row>
    <row r="824" spans="2:22" ht="30" customHeight="1">
      <c r="B824" s="62"/>
      <c r="C824" s="16"/>
      <c r="D824" s="63"/>
      <c r="E824" s="64"/>
      <c r="F824" s="16"/>
      <c r="V824" s="2"/>
    </row>
    <row r="825" spans="2:22" ht="30" customHeight="1">
      <c r="B825" s="62"/>
      <c r="C825" s="16"/>
      <c r="D825" s="63"/>
      <c r="E825" s="64"/>
      <c r="F825" s="16"/>
      <c r="V825" s="2"/>
    </row>
    <row r="826" spans="2:22" ht="30" customHeight="1">
      <c r="B826" s="62"/>
      <c r="C826" s="16"/>
      <c r="D826" s="63"/>
      <c r="E826" s="64"/>
      <c r="F826" s="16"/>
      <c r="V826" s="2"/>
    </row>
    <row r="827" spans="2:22" ht="30" customHeight="1">
      <c r="B827" s="62"/>
      <c r="C827" s="16"/>
      <c r="D827" s="63"/>
      <c r="E827" s="64"/>
      <c r="F827" s="16"/>
      <c r="V827" s="2"/>
    </row>
    <row r="828" spans="2:22" ht="30" customHeight="1">
      <c r="B828" s="62"/>
      <c r="C828" s="16"/>
      <c r="D828" s="63"/>
      <c r="E828" s="64"/>
      <c r="F828" s="16"/>
      <c r="V828" s="2"/>
    </row>
    <row r="829" spans="2:22" ht="30" customHeight="1">
      <c r="B829" s="62"/>
      <c r="C829" s="16"/>
      <c r="D829" s="63"/>
      <c r="E829" s="64"/>
      <c r="F829" s="16"/>
      <c r="V829" s="2"/>
    </row>
    <row r="830" spans="2:22" ht="30" customHeight="1">
      <c r="B830" s="62"/>
      <c r="C830" s="16"/>
      <c r="D830" s="63"/>
      <c r="E830" s="64"/>
      <c r="F830" s="16"/>
      <c r="V830" s="2"/>
    </row>
    <row r="831" spans="2:22" ht="30" customHeight="1">
      <c r="B831" s="62"/>
      <c r="C831" s="16"/>
      <c r="D831" s="63"/>
      <c r="E831" s="64"/>
      <c r="F831" s="16"/>
      <c r="V831" s="2"/>
    </row>
    <row r="832" spans="2:22" ht="30" customHeight="1">
      <c r="B832" s="62"/>
      <c r="C832" s="16"/>
      <c r="D832" s="63"/>
      <c r="E832" s="64"/>
      <c r="F832" s="16"/>
      <c r="V832" s="2"/>
    </row>
    <row r="833" spans="2:22" ht="30" customHeight="1">
      <c r="B833" s="62"/>
      <c r="C833" s="16"/>
      <c r="D833" s="63"/>
      <c r="E833" s="64"/>
      <c r="F833" s="16"/>
      <c r="V833" s="2"/>
    </row>
    <row r="834" spans="2:22" ht="30" customHeight="1">
      <c r="B834" s="62"/>
      <c r="C834" s="16"/>
      <c r="D834" s="63"/>
      <c r="E834" s="64"/>
      <c r="F834" s="16"/>
      <c r="V834" s="2"/>
    </row>
    <row r="835" spans="2:22" ht="30" customHeight="1">
      <c r="B835" s="62"/>
      <c r="C835" s="16"/>
      <c r="D835" s="63"/>
      <c r="E835" s="64"/>
      <c r="F835" s="16"/>
      <c r="V835" s="2"/>
    </row>
    <row r="836" spans="2:22" ht="30" customHeight="1">
      <c r="B836" s="62"/>
      <c r="C836" s="16"/>
      <c r="D836" s="63"/>
      <c r="E836" s="64"/>
      <c r="F836" s="16"/>
      <c r="V836" s="2"/>
    </row>
    <row r="837" spans="2:22" ht="30" customHeight="1">
      <c r="B837" s="62"/>
      <c r="C837" s="16"/>
      <c r="D837" s="63"/>
      <c r="E837" s="64"/>
      <c r="F837" s="16"/>
      <c r="V837" s="2"/>
    </row>
    <row r="838" spans="2:22" ht="30" customHeight="1">
      <c r="B838" s="62"/>
      <c r="C838" s="16"/>
      <c r="D838" s="63"/>
      <c r="E838" s="64"/>
      <c r="F838" s="16"/>
      <c r="V838" s="2"/>
    </row>
    <row r="839" spans="2:22" ht="30" customHeight="1">
      <c r="B839" s="62"/>
      <c r="C839" s="16"/>
      <c r="D839" s="63"/>
      <c r="E839" s="64"/>
      <c r="F839" s="16"/>
      <c r="V839" s="2"/>
    </row>
    <row r="840" spans="2:22" ht="30" customHeight="1">
      <c r="B840" s="62"/>
      <c r="C840" s="16"/>
      <c r="D840" s="63"/>
      <c r="E840" s="64"/>
      <c r="F840" s="16"/>
      <c r="V840" s="2"/>
    </row>
    <row r="841" spans="2:22" ht="30" customHeight="1">
      <c r="B841" s="62"/>
      <c r="C841" s="16"/>
      <c r="D841" s="63"/>
      <c r="E841" s="64"/>
      <c r="F841" s="16"/>
      <c r="V841" s="2"/>
    </row>
    <row r="842" spans="2:22" ht="30" customHeight="1">
      <c r="B842" s="62"/>
      <c r="C842" s="16"/>
      <c r="D842" s="63"/>
      <c r="E842" s="64"/>
      <c r="F842" s="16"/>
      <c r="V842" s="2"/>
    </row>
    <row r="843" spans="2:22" ht="30" customHeight="1">
      <c r="B843" s="62"/>
      <c r="C843" s="16"/>
      <c r="D843" s="63"/>
      <c r="E843" s="64"/>
      <c r="F843" s="16"/>
      <c r="V843" s="2"/>
    </row>
    <row r="844" spans="2:22" ht="30" customHeight="1">
      <c r="B844" s="62"/>
      <c r="C844" s="16"/>
      <c r="D844" s="63"/>
      <c r="E844" s="64"/>
      <c r="F844" s="16"/>
      <c r="V844" s="2"/>
    </row>
    <row r="845" spans="2:22" ht="30" customHeight="1">
      <c r="B845" s="62"/>
      <c r="C845" s="16"/>
      <c r="D845" s="63"/>
      <c r="E845" s="64"/>
      <c r="F845" s="16"/>
      <c r="V845" s="2"/>
    </row>
    <row r="846" spans="2:22" ht="30" customHeight="1">
      <c r="B846" s="62"/>
      <c r="C846" s="16"/>
      <c r="D846" s="63"/>
      <c r="E846" s="64"/>
      <c r="F846" s="16"/>
      <c r="V846" s="2"/>
    </row>
    <row r="847" spans="2:22" ht="30" customHeight="1">
      <c r="B847" s="62"/>
      <c r="C847" s="16"/>
      <c r="D847" s="63"/>
      <c r="E847" s="64"/>
      <c r="F847" s="16"/>
      <c r="V847" s="2"/>
    </row>
    <row r="848" spans="2:22" ht="30" customHeight="1">
      <c r="B848" s="62"/>
      <c r="C848" s="16"/>
      <c r="D848" s="63"/>
      <c r="E848" s="64"/>
      <c r="F848" s="16"/>
      <c r="V848" s="2"/>
    </row>
    <row r="849" spans="2:22" ht="30" customHeight="1">
      <c r="B849" s="62"/>
      <c r="C849" s="16"/>
      <c r="D849" s="63"/>
      <c r="E849" s="64"/>
      <c r="F849" s="16"/>
      <c r="V849" s="2"/>
    </row>
    <row r="850" spans="2:22" ht="30" customHeight="1">
      <c r="B850" s="62"/>
      <c r="C850" s="16"/>
      <c r="D850" s="63"/>
      <c r="E850" s="64"/>
      <c r="F850" s="16"/>
      <c r="V850" s="2"/>
    </row>
    <row r="851" spans="2:22" ht="30" customHeight="1">
      <c r="B851" s="62"/>
      <c r="C851" s="16"/>
      <c r="D851" s="63"/>
      <c r="E851" s="64"/>
      <c r="F851" s="16"/>
      <c r="V851" s="2"/>
    </row>
    <row r="852" spans="2:22" ht="30" customHeight="1">
      <c r="B852" s="62"/>
      <c r="C852" s="16"/>
      <c r="D852" s="63"/>
      <c r="E852" s="64"/>
      <c r="F852" s="16"/>
      <c r="V852" s="2"/>
    </row>
    <row r="853" spans="2:22" ht="30" customHeight="1">
      <c r="B853" s="62"/>
      <c r="C853" s="16"/>
      <c r="D853" s="63"/>
      <c r="E853" s="64"/>
      <c r="F853" s="16"/>
      <c r="V853" s="2"/>
    </row>
    <row r="854" spans="2:22" ht="30" customHeight="1">
      <c r="B854" s="62"/>
      <c r="C854" s="16"/>
      <c r="D854" s="63"/>
      <c r="E854" s="64"/>
      <c r="F854" s="16"/>
      <c r="V854" s="2"/>
    </row>
    <row r="855" spans="2:22" ht="30" customHeight="1">
      <c r="B855" s="62"/>
      <c r="C855" s="16"/>
      <c r="D855" s="63"/>
      <c r="E855" s="64"/>
      <c r="F855" s="16"/>
      <c r="V855" s="2"/>
    </row>
    <row r="856" spans="2:22" ht="30" customHeight="1">
      <c r="B856" s="62"/>
      <c r="C856" s="16"/>
      <c r="D856" s="63"/>
      <c r="E856" s="64"/>
      <c r="F856" s="16"/>
      <c r="V856" s="2"/>
    </row>
    <row r="857" spans="2:22" ht="30" customHeight="1">
      <c r="B857" s="62"/>
      <c r="C857" s="16"/>
      <c r="D857" s="63"/>
      <c r="E857" s="64"/>
      <c r="F857" s="16"/>
      <c r="V857" s="2"/>
    </row>
    <row r="858" spans="2:22" ht="30" customHeight="1">
      <c r="B858" s="62"/>
      <c r="C858" s="16"/>
      <c r="D858" s="63"/>
      <c r="E858" s="64"/>
      <c r="F858" s="16"/>
      <c r="V858" s="2"/>
    </row>
    <row r="859" spans="2:22" ht="30" customHeight="1">
      <c r="B859" s="62"/>
      <c r="C859" s="16"/>
      <c r="D859" s="63"/>
      <c r="E859" s="64"/>
      <c r="F859" s="16"/>
      <c r="V859" s="2"/>
    </row>
    <row r="860" spans="2:22" ht="30" customHeight="1">
      <c r="B860" s="62"/>
      <c r="C860" s="16"/>
      <c r="D860" s="63"/>
      <c r="E860" s="64"/>
      <c r="F860" s="16"/>
      <c r="V860" s="2"/>
    </row>
    <row r="861" spans="2:22" ht="30" customHeight="1">
      <c r="B861" s="62"/>
      <c r="C861" s="16"/>
      <c r="D861" s="63"/>
      <c r="E861" s="64"/>
      <c r="F861" s="16"/>
      <c r="V861" s="2"/>
    </row>
    <row r="862" spans="2:22" ht="30" customHeight="1">
      <c r="B862" s="62"/>
      <c r="C862" s="16"/>
      <c r="D862" s="63"/>
      <c r="E862" s="64"/>
      <c r="F862" s="16"/>
      <c r="V862" s="2"/>
    </row>
    <row r="863" spans="2:22" ht="30" customHeight="1">
      <c r="B863" s="62"/>
      <c r="C863" s="16"/>
      <c r="D863" s="63"/>
      <c r="E863" s="64"/>
      <c r="F863" s="16"/>
      <c r="V863" s="2"/>
    </row>
    <row r="864" spans="2:22" ht="30" customHeight="1">
      <c r="B864" s="62"/>
      <c r="C864" s="16"/>
      <c r="D864" s="63"/>
      <c r="E864" s="64"/>
      <c r="F864" s="16"/>
      <c r="V864" s="2"/>
    </row>
    <row r="865" spans="2:22" ht="30" customHeight="1">
      <c r="B865" s="62"/>
      <c r="C865" s="16"/>
      <c r="D865" s="63"/>
      <c r="E865" s="64"/>
      <c r="F865" s="16"/>
      <c r="V865" s="2"/>
    </row>
    <row r="866" spans="2:22" ht="30" customHeight="1">
      <c r="B866" s="62"/>
      <c r="C866" s="16"/>
      <c r="D866" s="63"/>
      <c r="E866" s="64"/>
      <c r="F866" s="16"/>
      <c r="V866" s="2"/>
    </row>
    <row r="867" spans="2:22" ht="30" customHeight="1">
      <c r="B867" s="62"/>
      <c r="C867" s="16"/>
      <c r="D867" s="63"/>
      <c r="E867" s="64"/>
      <c r="F867" s="16"/>
      <c r="V867" s="2"/>
    </row>
    <row r="868" spans="2:22" ht="30" customHeight="1">
      <c r="B868" s="62"/>
      <c r="C868" s="16"/>
      <c r="D868" s="63"/>
      <c r="E868" s="64"/>
      <c r="F868" s="16"/>
      <c r="V868" s="2"/>
    </row>
    <row r="869" spans="2:22" ht="30" customHeight="1">
      <c r="B869" s="62"/>
      <c r="C869" s="16"/>
      <c r="D869" s="63"/>
      <c r="E869" s="64"/>
      <c r="F869" s="16"/>
      <c r="V869" s="2"/>
    </row>
    <row r="870" spans="2:22" ht="30" customHeight="1">
      <c r="B870" s="62"/>
      <c r="C870" s="16"/>
      <c r="D870" s="63"/>
      <c r="E870" s="64"/>
      <c r="F870" s="16"/>
      <c r="V870" s="2"/>
    </row>
    <row r="871" spans="2:22" ht="30" customHeight="1">
      <c r="B871" s="62"/>
      <c r="C871" s="16"/>
      <c r="D871" s="63"/>
      <c r="E871" s="64"/>
      <c r="F871" s="16"/>
      <c r="V871" s="2"/>
    </row>
    <row r="872" spans="2:22" ht="30" customHeight="1">
      <c r="B872" s="62"/>
      <c r="C872" s="16"/>
      <c r="D872" s="63"/>
      <c r="E872" s="64"/>
      <c r="F872" s="16"/>
      <c r="V872" s="2"/>
    </row>
    <row r="873" spans="2:22" ht="30" customHeight="1">
      <c r="B873" s="62"/>
      <c r="C873" s="16"/>
      <c r="D873" s="63"/>
      <c r="E873" s="64"/>
      <c r="F873" s="16"/>
      <c r="V873" s="2"/>
    </row>
    <row r="874" spans="2:22" ht="30" customHeight="1">
      <c r="B874" s="62"/>
      <c r="C874" s="16"/>
      <c r="D874" s="63"/>
      <c r="E874" s="64"/>
      <c r="F874" s="16"/>
      <c r="V874" s="2"/>
    </row>
    <row r="875" spans="2:22" ht="30" customHeight="1">
      <c r="B875" s="62"/>
      <c r="C875" s="16"/>
      <c r="D875" s="63"/>
      <c r="E875" s="64"/>
      <c r="F875" s="16"/>
      <c r="V875" s="2"/>
    </row>
    <row r="876" spans="2:22" ht="30" customHeight="1">
      <c r="B876" s="62"/>
      <c r="C876" s="16"/>
      <c r="D876" s="63"/>
      <c r="E876" s="64"/>
      <c r="F876" s="16"/>
      <c r="V876" s="2"/>
    </row>
    <row r="877" spans="2:22" ht="30" customHeight="1">
      <c r="B877" s="62"/>
      <c r="C877" s="16"/>
      <c r="D877" s="63"/>
      <c r="E877" s="64"/>
      <c r="F877" s="16"/>
      <c r="V877" s="2"/>
    </row>
    <row r="878" spans="2:22" ht="30" customHeight="1">
      <c r="B878" s="62"/>
      <c r="C878" s="16"/>
      <c r="D878" s="63"/>
      <c r="E878" s="64"/>
      <c r="F878" s="16"/>
      <c r="V878" s="2"/>
    </row>
    <row r="879" spans="2:22" ht="30" customHeight="1">
      <c r="B879" s="62"/>
      <c r="C879" s="16"/>
      <c r="D879" s="63"/>
      <c r="E879" s="64"/>
      <c r="F879" s="16"/>
      <c r="V879" s="2"/>
    </row>
    <row r="880" spans="2:22" ht="30" customHeight="1">
      <c r="B880" s="62"/>
      <c r="C880" s="16"/>
      <c r="D880" s="63"/>
      <c r="E880" s="64"/>
      <c r="F880" s="16"/>
      <c r="V880" s="2"/>
    </row>
    <row r="881" spans="2:22" ht="30" customHeight="1">
      <c r="B881" s="62"/>
      <c r="C881" s="16"/>
      <c r="D881" s="63"/>
      <c r="E881" s="64"/>
      <c r="F881" s="16"/>
      <c r="V881" s="2"/>
    </row>
    <row r="882" spans="2:22" ht="30" customHeight="1">
      <c r="B882" s="62"/>
      <c r="C882" s="16"/>
      <c r="D882" s="63"/>
      <c r="E882" s="64"/>
      <c r="F882" s="16"/>
      <c r="V882" s="2"/>
    </row>
    <row r="883" spans="2:22" ht="30" customHeight="1">
      <c r="B883" s="62"/>
      <c r="C883" s="16"/>
      <c r="D883" s="63"/>
      <c r="E883" s="64"/>
      <c r="F883" s="16"/>
      <c r="V883" s="2"/>
    </row>
    <row r="884" spans="2:22" ht="30" customHeight="1">
      <c r="B884" s="62"/>
      <c r="C884" s="16"/>
      <c r="D884" s="63"/>
      <c r="E884" s="64"/>
      <c r="F884" s="16"/>
      <c r="V884" s="2"/>
    </row>
    <row r="885" spans="2:22" ht="30" customHeight="1">
      <c r="B885" s="62"/>
      <c r="C885" s="16"/>
      <c r="D885" s="63"/>
      <c r="E885" s="64"/>
      <c r="F885" s="16"/>
      <c r="V885" s="2"/>
    </row>
    <row r="886" spans="2:22" ht="30" customHeight="1">
      <c r="B886" s="62"/>
      <c r="C886" s="16"/>
      <c r="D886" s="63"/>
      <c r="E886" s="64"/>
      <c r="F886" s="16"/>
      <c r="V886" s="2"/>
    </row>
    <row r="887" spans="2:22" ht="30" customHeight="1">
      <c r="B887" s="62"/>
      <c r="C887" s="16"/>
      <c r="D887" s="63"/>
      <c r="E887" s="64"/>
      <c r="F887" s="16"/>
      <c r="V887" s="2"/>
    </row>
    <row r="888" spans="2:22" ht="30" customHeight="1">
      <c r="B888" s="62"/>
      <c r="C888" s="16"/>
      <c r="D888" s="63"/>
      <c r="E888" s="64"/>
      <c r="F888" s="16"/>
      <c r="V888" s="2"/>
    </row>
    <row r="889" spans="2:22" ht="30" customHeight="1">
      <c r="B889" s="62"/>
      <c r="C889" s="16"/>
      <c r="D889" s="63"/>
      <c r="E889" s="64"/>
      <c r="F889" s="16"/>
      <c r="V889" s="2"/>
    </row>
    <row r="890" spans="2:22" ht="30" customHeight="1">
      <c r="B890" s="62"/>
      <c r="C890" s="16"/>
      <c r="D890" s="63"/>
      <c r="E890" s="64"/>
      <c r="F890" s="16"/>
      <c r="V890" s="2"/>
    </row>
    <row r="891" spans="2:22" ht="30" customHeight="1">
      <c r="B891" s="62"/>
      <c r="C891" s="16"/>
      <c r="D891" s="63"/>
      <c r="E891" s="64"/>
      <c r="F891" s="16"/>
      <c r="V891" s="2"/>
    </row>
    <row r="892" spans="2:22" ht="30" customHeight="1">
      <c r="B892" s="62"/>
      <c r="C892" s="16"/>
      <c r="D892" s="63"/>
      <c r="E892" s="64"/>
      <c r="F892" s="16"/>
      <c r="V892" s="2"/>
    </row>
    <row r="893" spans="2:22" ht="30" customHeight="1">
      <c r="B893" s="62"/>
      <c r="C893" s="16"/>
      <c r="D893" s="63"/>
      <c r="E893" s="64"/>
      <c r="F893" s="16"/>
      <c r="V893" s="2"/>
    </row>
    <row r="894" spans="2:22" ht="30" customHeight="1">
      <c r="B894" s="62"/>
      <c r="C894" s="16"/>
      <c r="D894" s="63"/>
      <c r="E894" s="64"/>
      <c r="F894" s="16"/>
      <c r="V894" s="2"/>
    </row>
    <row r="895" spans="2:22" ht="30" customHeight="1">
      <c r="B895" s="62"/>
      <c r="C895" s="16"/>
      <c r="D895" s="63"/>
      <c r="E895" s="64"/>
      <c r="F895" s="16"/>
      <c r="V895" s="2"/>
    </row>
    <row r="896" spans="2:22" ht="30" customHeight="1">
      <c r="B896" s="62"/>
      <c r="C896" s="16"/>
      <c r="D896" s="63"/>
      <c r="E896" s="64"/>
      <c r="F896" s="16"/>
      <c r="V896" s="2"/>
    </row>
    <row r="897" spans="2:22" ht="30" customHeight="1">
      <c r="B897" s="62"/>
      <c r="C897" s="16"/>
      <c r="D897" s="63"/>
      <c r="E897" s="64"/>
      <c r="F897" s="16"/>
      <c r="V897" s="2"/>
    </row>
    <row r="898" spans="2:22" ht="30" customHeight="1">
      <c r="B898" s="62"/>
      <c r="C898" s="16"/>
      <c r="D898" s="63"/>
      <c r="E898" s="64"/>
      <c r="F898" s="16"/>
      <c r="V898" s="2"/>
    </row>
    <row r="899" spans="2:22" ht="30" customHeight="1">
      <c r="B899" s="62"/>
      <c r="C899" s="16"/>
      <c r="D899" s="63"/>
      <c r="E899" s="64"/>
      <c r="F899" s="16"/>
      <c r="V899" s="2"/>
    </row>
    <row r="900" spans="2:22" ht="30" customHeight="1">
      <c r="B900" s="62"/>
      <c r="C900" s="16"/>
      <c r="D900" s="63"/>
      <c r="E900" s="64"/>
      <c r="F900" s="16"/>
      <c r="V900" s="2"/>
    </row>
    <row r="901" spans="2:22" ht="30" customHeight="1">
      <c r="B901" s="62"/>
      <c r="C901" s="16"/>
      <c r="D901" s="63"/>
      <c r="E901" s="64"/>
      <c r="F901" s="16"/>
      <c r="V901" s="2"/>
    </row>
    <row r="902" spans="2:22" ht="30" customHeight="1">
      <c r="B902" s="62"/>
      <c r="C902" s="16"/>
      <c r="D902" s="63"/>
      <c r="E902" s="64"/>
      <c r="F902" s="16"/>
      <c r="V902" s="2"/>
    </row>
    <row r="903" spans="2:22" ht="30" customHeight="1">
      <c r="B903" s="62"/>
      <c r="C903" s="16"/>
      <c r="D903" s="63"/>
      <c r="E903" s="64"/>
      <c r="F903" s="16"/>
      <c r="V903" s="2"/>
    </row>
    <row r="904" spans="2:22" ht="30" customHeight="1">
      <c r="B904" s="62"/>
      <c r="C904" s="16"/>
      <c r="D904" s="63"/>
      <c r="E904" s="64"/>
      <c r="F904" s="16"/>
      <c r="V904" s="2"/>
    </row>
    <row r="905" spans="2:22" ht="30" customHeight="1">
      <c r="B905" s="62"/>
      <c r="C905" s="16"/>
      <c r="D905" s="63"/>
      <c r="E905" s="64"/>
      <c r="F905" s="16"/>
      <c r="V905" s="2"/>
    </row>
    <row r="906" spans="2:22" ht="30" customHeight="1">
      <c r="B906" s="62"/>
      <c r="C906" s="16"/>
      <c r="D906" s="63"/>
      <c r="E906" s="64"/>
      <c r="F906" s="16"/>
      <c r="V906" s="2"/>
    </row>
    <row r="907" spans="2:22" ht="30" customHeight="1">
      <c r="B907" s="62"/>
      <c r="C907" s="16"/>
      <c r="D907" s="63"/>
      <c r="E907" s="64"/>
      <c r="F907" s="16"/>
      <c r="V907" s="2"/>
    </row>
    <row r="908" spans="2:22" ht="30" customHeight="1">
      <c r="B908" s="62"/>
      <c r="C908" s="16"/>
      <c r="D908" s="63"/>
      <c r="E908" s="64"/>
      <c r="F908" s="16"/>
      <c r="V908" s="2"/>
    </row>
    <row r="909" spans="2:22" ht="30" customHeight="1">
      <c r="B909" s="62"/>
      <c r="C909" s="16"/>
      <c r="D909" s="63"/>
      <c r="E909" s="64"/>
      <c r="F909" s="16"/>
      <c r="V909" s="2"/>
    </row>
    <row r="910" spans="2:22" ht="30" customHeight="1">
      <c r="B910" s="62"/>
      <c r="C910" s="16"/>
      <c r="D910" s="63"/>
      <c r="E910" s="64"/>
      <c r="F910" s="16"/>
      <c r="V910" s="2"/>
    </row>
    <row r="911" spans="2:22" ht="30" customHeight="1">
      <c r="B911" s="62"/>
      <c r="C911" s="16"/>
      <c r="D911" s="63"/>
      <c r="E911" s="64"/>
      <c r="F911" s="16"/>
      <c r="V911" s="2"/>
    </row>
    <row r="912" spans="2:22" ht="30" customHeight="1">
      <c r="B912" s="62"/>
      <c r="C912" s="16"/>
      <c r="D912" s="63"/>
      <c r="E912" s="64"/>
      <c r="F912" s="16"/>
      <c r="V912" s="2"/>
    </row>
    <row r="913" spans="2:22" ht="30" customHeight="1">
      <c r="B913" s="62"/>
      <c r="C913" s="16"/>
      <c r="D913" s="63"/>
      <c r="E913" s="64"/>
      <c r="F913" s="16"/>
      <c r="V913" s="2"/>
    </row>
    <row r="914" spans="2:22" ht="30" customHeight="1">
      <c r="B914" s="62"/>
      <c r="C914" s="16"/>
      <c r="D914" s="63"/>
      <c r="E914" s="64"/>
      <c r="F914" s="16"/>
      <c r="V914" s="2"/>
    </row>
    <row r="915" spans="2:22" ht="30" customHeight="1">
      <c r="B915" s="62"/>
      <c r="C915" s="16"/>
      <c r="D915" s="63"/>
      <c r="E915" s="64"/>
      <c r="F915" s="16"/>
      <c r="V915" s="2"/>
    </row>
    <row r="916" spans="2:22" ht="30" customHeight="1">
      <c r="B916" s="62"/>
      <c r="C916" s="16"/>
      <c r="D916" s="63"/>
      <c r="E916" s="64"/>
      <c r="F916" s="16"/>
      <c r="V916" s="2"/>
    </row>
    <row r="917" spans="2:22" ht="30" customHeight="1">
      <c r="B917" s="62"/>
      <c r="C917" s="16"/>
      <c r="D917" s="63"/>
      <c r="E917" s="64"/>
      <c r="F917" s="16"/>
      <c r="V917" s="2"/>
    </row>
    <row r="918" spans="2:22" ht="30" customHeight="1">
      <c r="B918" s="62"/>
      <c r="C918" s="16"/>
      <c r="D918" s="63"/>
      <c r="E918" s="64"/>
      <c r="F918" s="16"/>
      <c r="V918" s="2"/>
    </row>
    <row r="919" spans="2:22" ht="30" customHeight="1">
      <c r="B919" s="62"/>
      <c r="C919" s="16"/>
      <c r="D919" s="63"/>
      <c r="E919" s="64"/>
      <c r="F919" s="16"/>
      <c r="V919" s="2"/>
    </row>
    <row r="920" spans="2:22" ht="30" customHeight="1">
      <c r="B920" s="62"/>
      <c r="C920" s="16"/>
      <c r="D920" s="63"/>
      <c r="E920" s="64"/>
      <c r="F920" s="16"/>
      <c r="V920" s="2"/>
    </row>
    <row r="921" spans="2:22" ht="30" customHeight="1">
      <c r="B921" s="62"/>
      <c r="C921" s="16"/>
      <c r="D921" s="63"/>
      <c r="E921" s="64"/>
      <c r="F921" s="16"/>
      <c r="V921" s="2"/>
    </row>
    <row r="922" spans="2:22" ht="30" customHeight="1">
      <c r="B922" s="62"/>
      <c r="C922" s="16"/>
      <c r="D922" s="63"/>
      <c r="E922" s="64"/>
      <c r="F922" s="16"/>
      <c r="V922" s="2"/>
    </row>
    <row r="923" spans="2:22" ht="30" customHeight="1">
      <c r="B923" s="62"/>
      <c r="C923" s="16"/>
      <c r="D923" s="63"/>
      <c r="E923" s="64"/>
      <c r="F923" s="16"/>
      <c r="V923" s="2"/>
    </row>
    <row r="924" spans="2:22" ht="30" customHeight="1">
      <c r="B924" s="62"/>
      <c r="C924" s="16"/>
      <c r="D924" s="63"/>
      <c r="E924" s="64"/>
      <c r="F924" s="16"/>
      <c r="V924" s="2"/>
    </row>
    <row r="925" spans="2:22" ht="30" customHeight="1">
      <c r="B925" s="62"/>
      <c r="C925" s="16"/>
      <c r="D925" s="63"/>
      <c r="E925" s="64"/>
      <c r="F925" s="16"/>
      <c r="V925" s="2"/>
    </row>
    <row r="926" spans="2:22" ht="30" customHeight="1">
      <c r="B926" s="62"/>
      <c r="C926" s="16"/>
      <c r="D926" s="63"/>
      <c r="E926" s="64"/>
      <c r="F926" s="16"/>
      <c r="V926" s="2"/>
    </row>
    <row r="927" spans="2:22" ht="30" customHeight="1">
      <c r="B927" s="62"/>
      <c r="C927" s="16"/>
      <c r="D927" s="63"/>
      <c r="E927" s="64"/>
      <c r="F927" s="16"/>
      <c r="V927" s="2"/>
    </row>
    <row r="928" spans="2:22" ht="30" customHeight="1">
      <c r="B928" s="62"/>
      <c r="C928" s="16"/>
      <c r="D928" s="63"/>
      <c r="E928" s="64"/>
      <c r="F928" s="16"/>
      <c r="V928" s="2"/>
    </row>
    <row r="929" spans="2:22" ht="30" customHeight="1">
      <c r="B929" s="62"/>
      <c r="C929" s="16"/>
      <c r="D929" s="63"/>
      <c r="E929" s="64"/>
      <c r="F929" s="16"/>
      <c r="V929" s="2"/>
    </row>
    <row r="930" spans="2:22" ht="30" customHeight="1">
      <c r="B930" s="62"/>
      <c r="C930" s="16"/>
      <c r="D930" s="63"/>
      <c r="E930" s="64"/>
      <c r="F930" s="16"/>
      <c r="V930" s="2"/>
    </row>
    <row r="931" spans="2:22" ht="30" customHeight="1">
      <c r="B931" s="62"/>
      <c r="C931" s="16"/>
      <c r="D931" s="63"/>
      <c r="E931" s="64"/>
      <c r="F931" s="16"/>
      <c r="V931" s="2"/>
    </row>
    <row r="932" spans="2:22" ht="30" customHeight="1">
      <c r="B932" s="62"/>
      <c r="C932" s="16"/>
      <c r="D932" s="63"/>
      <c r="E932" s="64"/>
      <c r="F932" s="16"/>
      <c r="V932" s="2"/>
    </row>
    <row r="933" spans="2:22" ht="30" customHeight="1">
      <c r="B933" s="62"/>
      <c r="C933" s="16"/>
      <c r="D933" s="63"/>
      <c r="E933" s="64"/>
      <c r="F933" s="16"/>
      <c r="V933" s="2"/>
    </row>
    <row r="934" spans="2:22" ht="30" customHeight="1">
      <c r="B934" s="62"/>
      <c r="C934" s="16"/>
      <c r="D934" s="63"/>
      <c r="E934" s="64"/>
      <c r="F934" s="16"/>
      <c r="V934" s="2"/>
    </row>
    <row r="935" spans="2:22" ht="30" customHeight="1">
      <c r="B935" s="62"/>
      <c r="C935" s="16"/>
      <c r="D935" s="63"/>
      <c r="E935" s="64"/>
      <c r="F935" s="16"/>
      <c r="V935" s="2"/>
    </row>
    <row r="936" spans="2:22" ht="30" customHeight="1">
      <c r="B936" s="62"/>
      <c r="C936" s="16"/>
      <c r="D936" s="63"/>
      <c r="E936" s="64"/>
      <c r="F936" s="16"/>
      <c r="V936" s="2"/>
    </row>
    <row r="937" spans="2:22" ht="30" customHeight="1">
      <c r="B937" s="62"/>
      <c r="C937" s="16"/>
      <c r="D937" s="63"/>
      <c r="E937" s="64"/>
      <c r="F937" s="16"/>
      <c r="V937" s="2"/>
    </row>
    <row r="938" spans="2:22" ht="30" customHeight="1">
      <c r="B938" s="62"/>
      <c r="C938" s="16"/>
      <c r="D938" s="63"/>
      <c r="E938" s="64"/>
      <c r="F938" s="16"/>
      <c r="V938" s="2"/>
    </row>
    <row r="939" spans="2:22" ht="30" customHeight="1">
      <c r="B939" s="62"/>
      <c r="C939" s="16"/>
      <c r="D939" s="63"/>
      <c r="E939" s="64"/>
      <c r="F939" s="16"/>
      <c r="V939" s="2"/>
    </row>
    <row r="940" spans="2:22" ht="30" customHeight="1">
      <c r="B940" s="62"/>
      <c r="C940" s="16"/>
      <c r="D940" s="63"/>
      <c r="E940" s="64"/>
      <c r="F940" s="16"/>
      <c r="V940" s="2"/>
    </row>
    <row r="941" spans="2:22" ht="30" customHeight="1">
      <c r="B941" s="62"/>
      <c r="C941" s="16"/>
      <c r="D941" s="63"/>
      <c r="E941" s="64"/>
      <c r="F941" s="16"/>
      <c r="V941" s="2"/>
    </row>
    <row r="942" spans="2:22" ht="30" customHeight="1">
      <c r="B942" s="62"/>
      <c r="C942" s="16"/>
      <c r="D942" s="63"/>
      <c r="E942" s="64"/>
      <c r="F942" s="16"/>
      <c r="V942" s="2"/>
    </row>
    <row r="943" spans="2:22" ht="30" customHeight="1">
      <c r="B943" s="62"/>
      <c r="C943" s="16"/>
      <c r="D943" s="63"/>
      <c r="E943" s="64"/>
      <c r="F943" s="16"/>
      <c r="V943" s="2"/>
    </row>
    <row r="944" spans="2:22" ht="30" customHeight="1">
      <c r="B944" s="62"/>
      <c r="C944" s="16"/>
      <c r="D944" s="63"/>
      <c r="E944" s="64"/>
      <c r="F944" s="16"/>
      <c r="V944" s="2"/>
    </row>
    <row r="945" spans="2:22" ht="30" customHeight="1">
      <c r="B945" s="62"/>
      <c r="C945" s="16"/>
      <c r="D945" s="63"/>
      <c r="E945" s="64"/>
      <c r="F945" s="16"/>
      <c r="V945" s="2"/>
    </row>
    <row r="946" spans="2:22" ht="30" customHeight="1">
      <c r="B946" s="62"/>
      <c r="C946" s="16"/>
      <c r="D946" s="63"/>
      <c r="E946" s="64"/>
      <c r="F946" s="16"/>
      <c r="V946" s="2"/>
    </row>
    <row r="947" spans="2:22" ht="30" customHeight="1">
      <c r="B947" s="62"/>
      <c r="C947" s="16"/>
      <c r="D947" s="63"/>
      <c r="E947" s="64"/>
      <c r="F947" s="16"/>
      <c r="V947" s="2"/>
    </row>
    <row r="948" spans="2:22" ht="30" customHeight="1">
      <c r="B948" s="62"/>
      <c r="C948" s="16"/>
      <c r="D948" s="63"/>
      <c r="E948" s="64"/>
      <c r="F948" s="16"/>
      <c r="V948" s="2"/>
    </row>
    <row r="949" spans="2:22" ht="30" customHeight="1">
      <c r="B949" s="62"/>
      <c r="C949" s="16"/>
      <c r="D949" s="63"/>
      <c r="E949" s="64"/>
      <c r="F949" s="16"/>
      <c r="V949" s="2"/>
    </row>
    <row r="950" spans="2:22" ht="30" customHeight="1">
      <c r="B950" s="62"/>
      <c r="C950" s="16"/>
      <c r="D950" s="63"/>
      <c r="E950" s="64"/>
      <c r="F950" s="16"/>
      <c r="V950" s="2"/>
    </row>
    <row r="951" spans="2:22" ht="30" customHeight="1">
      <c r="B951" s="62"/>
      <c r="C951" s="16"/>
      <c r="D951" s="63"/>
      <c r="E951" s="64"/>
      <c r="F951" s="16"/>
      <c r="V951" s="2"/>
    </row>
    <row r="952" spans="2:22" ht="30" customHeight="1">
      <c r="B952" s="62"/>
      <c r="C952" s="16"/>
      <c r="D952" s="63"/>
      <c r="E952" s="64"/>
      <c r="F952" s="16"/>
      <c r="V952" s="2"/>
    </row>
    <row r="953" spans="2:22" ht="30" customHeight="1">
      <c r="B953" s="62"/>
      <c r="C953" s="16"/>
      <c r="D953" s="63"/>
      <c r="E953" s="64"/>
      <c r="F953" s="16"/>
      <c r="V953" s="2"/>
    </row>
    <row r="954" spans="2:22" ht="30" customHeight="1">
      <c r="B954" s="62"/>
      <c r="C954" s="16"/>
      <c r="D954" s="63"/>
      <c r="E954" s="64"/>
      <c r="F954" s="16"/>
      <c r="V954" s="2"/>
    </row>
    <row r="955" spans="2:22" ht="30" customHeight="1">
      <c r="B955" s="62"/>
      <c r="C955" s="16"/>
      <c r="D955" s="63"/>
      <c r="E955" s="64"/>
      <c r="F955" s="16"/>
      <c r="V955" s="2"/>
    </row>
    <row r="956" spans="2:22" ht="30" customHeight="1">
      <c r="B956" s="62"/>
      <c r="C956" s="16"/>
      <c r="D956" s="63"/>
      <c r="E956" s="64"/>
      <c r="F956" s="16"/>
      <c r="V956" s="2"/>
    </row>
    <row r="957" spans="2:22" ht="30" customHeight="1">
      <c r="B957" s="62"/>
      <c r="C957" s="16"/>
      <c r="D957" s="63"/>
      <c r="E957" s="64"/>
      <c r="F957" s="16"/>
      <c r="V957" s="2"/>
    </row>
    <row r="958" spans="2:22" ht="30" customHeight="1">
      <c r="B958" s="62"/>
      <c r="C958" s="16"/>
      <c r="D958" s="63"/>
      <c r="E958" s="64"/>
      <c r="F958" s="16"/>
      <c r="V958" s="2"/>
    </row>
    <row r="959" spans="2:22" ht="30" customHeight="1">
      <c r="B959" s="62"/>
      <c r="C959" s="16"/>
      <c r="D959" s="63"/>
      <c r="E959" s="64"/>
      <c r="F959" s="16"/>
      <c r="V959" s="2"/>
    </row>
    <row r="960" spans="2:22" ht="30" customHeight="1">
      <c r="B960" s="62"/>
      <c r="C960" s="16"/>
      <c r="D960" s="63"/>
      <c r="E960" s="64"/>
      <c r="F960" s="16"/>
      <c r="V960" s="2"/>
    </row>
    <row r="961" spans="2:22" ht="30" customHeight="1">
      <c r="B961" s="62"/>
      <c r="C961" s="16"/>
      <c r="D961" s="63"/>
      <c r="E961" s="64"/>
      <c r="F961" s="16"/>
      <c r="V961" s="2"/>
    </row>
    <row r="962" spans="2:22" ht="30" customHeight="1">
      <c r="B962" s="62"/>
      <c r="C962" s="16"/>
      <c r="D962" s="63"/>
      <c r="E962" s="64"/>
      <c r="F962" s="16"/>
      <c r="V962" s="2"/>
    </row>
    <row r="963" spans="2:22" ht="30" customHeight="1">
      <c r="B963" s="62"/>
      <c r="C963" s="16"/>
      <c r="D963" s="63"/>
      <c r="E963" s="64"/>
      <c r="F963" s="16"/>
      <c r="V963" s="2"/>
    </row>
    <row r="964" spans="2:22" ht="30" customHeight="1">
      <c r="B964" s="62"/>
      <c r="C964" s="16"/>
      <c r="D964" s="63"/>
      <c r="E964" s="64"/>
      <c r="F964" s="16"/>
      <c r="V964" s="2"/>
    </row>
    <row r="965" spans="2:22" ht="30" customHeight="1">
      <c r="B965" s="62"/>
      <c r="C965" s="16"/>
      <c r="D965" s="63"/>
      <c r="E965" s="64"/>
      <c r="F965" s="16"/>
      <c r="V965" s="2"/>
    </row>
    <row r="966" spans="2:22" ht="30" customHeight="1">
      <c r="B966" s="62"/>
      <c r="C966" s="16"/>
      <c r="D966" s="63"/>
      <c r="E966" s="64"/>
      <c r="F966" s="16"/>
      <c r="V966" s="2"/>
    </row>
    <row r="967" spans="2:22" ht="30" customHeight="1">
      <c r="B967" s="62"/>
      <c r="C967" s="16"/>
      <c r="D967" s="63"/>
      <c r="E967" s="64"/>
      <c r="F967" s="16"/>
      <c r="V967" s="2"/>
    </row>
    <row r="968" spans="2:22" ht="30" customHeight="1">
      <c r="B968" s="62"/>
      <c r="C968" s="16"/>
      <c r="D968" s="63"/>
      <c r="E968" s="64"/>
      <c r="F968" s="16"/>
      <c r="V968" s="2"/>
    </row>
    <row r="969" spans="2:22" ht="30" customHeight="1">
      <c r="B969" s="62"/>
      <c r="C969" s="16"/>
      <c r="D969" s="63"/>
      <c r="E969" s="64"/>
      <c r="F969" s="16"/>
      <c r="V969" s="2"/>
    </row>
    <row r="970" spans="2:22" ht="30" customHeight="1">
      <c r="B970" s="62"/>
      <c r="C970" s="16"/>
      <c r="D970" s="63"/>
      <c r="E970" s="64"/>
      <c r="F970" s="16"/>
      <c r="V970" s="2"/>
    </row>
    <row r="971" spans="2:22" ht="30" customHeight="1">
      <c r="B971" s="62"/>
      <c r="C971" s="16"/>
      <c r="D971" s="63"/>
      <c r="E971" s="64"/>
      <c r="F971" s="16"/>
      <c r="V971" s="2"/>
    </row>
    <row r="972" spans="2:22" ht="30" customHeight="1">
      <c r="B972" s="62"/>
      <c r="C972" s="16"/>
      <c r="D972" s="63"/>
      <c r="E972" s="64"/>
      <c r="F972" s="16"/>
      <c r="V972" s="2"/>
    </row>
    <row r="973" spans="2:22" ht="30" customHeight="1">
      <c r="B973" s="62"/>
      <c r="C973" s="16"/>
      <c r="D973" s="63"/>
      <c r="E973" s="64"/>
      <c r="F973" s="16"/>
      <c r="V973" s="2"/>
    </row>
    <row r="974" spans="2:22" ht="30" customHeight="1">
      <c r="B974" s="62"/>
      <c r="C974" s="16"/>
      <c r="D974" s="63"/>
      <c r="E974" s="64"/>
      <c r="F974" s="16"/>
      <c r="V974" s="2"/>
    </row>
    <row r="975" spans="2:22" ht="30" customHeight="1">
      <c r="B975" s="62"/>
      <c r="C975" s="16"/>
      <c r="D975" s="63"/>
      <c r="E975" s="64"/>
      <c r="F975" s="16"/>
      <c r="V975" s="2"/>
    </row>
    <row r="976" spans="2:22" ht="30" customHeight="1">
      <c r="B976" s="62"/>
      <c r="C976" s="16"/>
      <c r="D976" s="63"/>
      <c r="E976" s="64"/>
      <c r="F976" s="16"/>
      <c r="V976" s="2"/>
    </row>
    <row r="977" spans="2:22" ht="30" customHeight="1">
      <c r="B977" s="62"/>
      <c r="C977" s="16"/>
      <c r="D977" s="63"/>
      <c r="E977" s="64"/>
      <c r="F977" s="16"/>
      <c r="V977" s="2"/>
    </row>
    <row r="978" spans="2:22" ht="30" customHeight="1">
      <c r="B978" s="62"/>
      <c r="C978" s="16"/>
      <c r="D978" s="63"/>
      <c r="E978" s="64"/>
      <c r="F978" s="16"/>
      <c r="V978" s="2"/>
    </row>
    <row r="979" spans="2:22" ht="30" customHeight="1">
      <c r="B979" s="62"/>
      <c r="C979" s="16"/>
      <c r="D979" s="63"/>
      <c r="E979" s="64"/>
      <c r="F979" s="16"/>
      <c r="V979" s="2"/>
    </row>
    <row r="980" spans="2:22" ht="30" customHeight="1">
      <c r="B980" s="62"/>
      <c r="C980" s="16"/>
      <c r="D980" s="63"/>
      <c r="E980" s="64"/>
      <c r="F980" s="16"/>
      <c r="V980" s="2"/>
    </row>
    <row r="981" spans="2:22" ht="30" customHeight="1">
      <c r="B981" s="62"/>
      <c r="C981" s="16"/>
      <c r="D981" s="63"/>
      <c r="E981" s="64"/>
      <c r="F981" s="16"/>
      <c r="V981" s="2"/>
    </row>
    <row r="982" spans="2:22" ht="30" customHeight="1">
      <c r="B982" s="62"/>
      <c r="C982" s="16"/>
      <c r="D982" s="63"/>
      <c r="E982" s="64"/>
      <c r="F982" s="16"/>
      <c r="V982" s="2"/>
    </row>
    <row r="983" spans="2:22" ht="30" customHeight="1">
      <c r="B983" s="62"/>
      <c r="C983" s="16"/>
      <c r="D983" s="63"/>
      <c r="E983" s="64"/>
      <c r="F983" s="16"/>
      <c r="V983" s="2"/>
    </row>
    <row r="984" spans="2:22" ht="30" customHeight="1">
      <c r="B984" s="62"/>
      <c r="C984" s="16"/>
      <c r="D984" s="63"/>
      <c r="E984" s="64"/>
      <c r="F984" s="16"/>
      <c r="V984" s="2"/>
    </row>
    <row r="985" spans="2:22" ht="30" customHeight="1">
      <c r="B985" s="62"/>
      <c r="C985" s="16"/>
      <c r="D985" s="63"/>
      <c r="E985" s="64"/>
      <c r="F985" s="16"/>
      <c r="V985" s="2"/>
    </row>
    <row r="986" spans="2:22" ht="30" customHeight="1">
      <c r="B986" s="62"/>
      <c r="C986" s="16"/>
      <c r="D986" s="63"/>
      <c r="E986" s="64"/>
      <c r="F986" s="16"/>
      <c r="V986" s="2"/>
    </row>
    <row r="987" spans="2:22" ht="30" customHeight="1">
      <c r="B987" s="62"/>
      <c r="C987" s="16"/>
      <c r="D987" s="63"/>
      <c r="E987" s="64"/>
      <c r="F987" s="16"/>
      <c r="V987" s="2"/>
    </row>
    <row r="988" spans="2:22" ht="30" customHeight="1">
      <c r="B988" s="62"/>
      <c r="C988" s="16"/>
      <c r="D988" s="63"/>
      <c r="E988" s="64"/>
      <c r="F988" s="16"/>
      <c r="V988" s="2"/>
    </row>
    <row r="989" spans="2:22" ht="30" customHeight="1">
      <c r="B989" s="62"/>
      <c r="C989" s="16"/>
      <c r="D989" s="63"/>
      <c r="E989" s="64"/>
      <c r="F989" s="16"/>
      <c r="V989" s="2"/>
    </row>
    <row r="990" spans="2:22" ht="30" customHeight="1">
      <c r="B990" s="62"/>
      <c r="C990" s="16"/>
      <c r="D990" s="63"/>
      <c r="E990" s="64"/>
      <c r="F990" s="16"/>
      <c r="V990" s="2"/>
    </row>
    <row r="991" spans="2:22" ht="30" customHeight="1">
      <c r="B991" s="62"/>
      <c r="C991" s="16"/>
      <c r="D991" s="63"/>
      <c r="E991" s="64"/>
      <c r="F991" s="16"/>
      <c r="V991" s="2"/>
    </row>
    <row r="992" spans="2:22" ht="30" customHeight="1">
      <c r="B992" s="62"/>
      <c r="C992" s="16"/>
      <c r="D992" s="63"/>
      <c r="E992" s="64"/>
      <c r="F992" s="16"/>
      <c r="V992" s="2"/>
    </row>
    <row r="993" spans="2:22" ht="30" customHeight="1">
      <c r="B993" s="62"/>
      <c r="C993" s="16"/>
      <c r="D993" s="63"/>
      <c r="E993" s="64"/>
      <c r="F993" s="16"/>
      <c r="V993" s="2"/>
    </row>
    <row r="994" spans="2:22" ht="30" customHeight="1">
      <c r="B994" s="62"/>
      <c r="C994" s="16"/>
      <c r="D994" s="63"/>
      <c r="E994" s="64"/>
      <c r="F994" s="16"/>
      <c r="V994" s="2"/>
    </row>
    <row r="995" spans="2:22" ht="30" customHeight="1">
      <c r="B995" s="62"/>
      <c r="C995" s="16"/>
      <c r="D995" s="63"/>
      <c r="E995" s="64"/>
      <c r="F995" s="16"/>
      <c r="V995" s="2"/>
    </row>
    <row r="996" spans="2:22" ht="30" customHeight="1">
      <c r="B996" s="62"/>
      <c r="C996" s="16"/>
      <c r="D996" s="63"/>
      <c r="E996" s="64"/>
      <c r="F996" s="16"/>
      <c r="V996" s="2"/>
    </row>
    <row r="997" spans="2:22" ht="30" customHeight="1">
      <c r="B997" s="62"/>
      <c r="C997" s="16"/>
      <c r="D997" s="63"/>
      <c r="E997" s="64"/>
      <c r="F997" s="16"/>
      <c r="V997" s="2"/>
    </row>
    <row r="998" spans="2:22" ht="30" customHeight="1">
      <c r="B998" s="62"/>
      <c r="C998" s="16"/>
      <c r="D998" s="63"/>
      <c r="E998" s="64"/>
      <c r="F998" s="16"/>
      <c r="V998" s="2"/>
    </row>
    <row r="999" spans="2:22" ht="30" customHeight="1">
      <c r="B999" s="62"/>
      <c r="C999" s="16"/>
      <c r="D999" s="63"/>
      <c r="E999" s="64"/>
      <c r="F999" s="16"/>
      <c r="V999" s="2"/>
    </row>
    <row r="1000" spans="2:22" ht="30" customHeight="1">
      <c r="B1000" s="62"/>
      <c r="C1000" s="16"/>
      <c r="D1000" s="63"/>
      <c r="E1000" s="64"/>
      <c r="F1000" s="16"/>
      <c r="V1000" s="2"/>
    </row>
    <row r="1001" spans="2:22" ht="30" customHeight="1">
      <c r="B1001" s="62"/>
      <c r="C1001" s="16"/>
      <c r="D1001" s="63"/>
      <c r="E1001" s="64"/>
      <c r="F1001" s="16"/>
      <c r="V1001" s="2"/>
    </row>
    <row r="1002" spans="2:22" ht="30" customHeight="1">
      <c r="B1002" s="62"/>
      <c r="C1002" s="16"/>
      <c r="D1002" s="63"/>
      <c r="E1002" s="64"/>
      <c r="F1002" s="16"/>
      <c r="V1002" s="2"/>
    </row>
    <row r="1003" spans="2:22" ht="30" customHeight="1">
      <c r="B1003" s="62"/>
      <c r="C1003" s="16"/>
      <c r="D1003" s="63"/>
      <c r="E1003" s="64"/>
      <c r="F1003" s="16"/>
      <c r="V1003" s="2"/>
    </row>
    <row r="1004" spans="2:22" ht="30" customHeight="1">
      <c r="B1004" s="62"/>
      <c r="C1004" s="16"/>
      <c r="D1004" s="63"/>
      <c r="E1004" s="64"/>
      <c r="F1004" s="16"/>
      <c r="V1004" s="2"/>
    </row>
    <row r="1005" spans="2:22" ht="30" customHeight="1">
      <c r="B1005" s="62"/>
      <c r="C1005" s="16"/>
      <c r="D1005" s="63"/>
      <c r="E1005" s="64"/>
      <c r="F1005" s="16"/>
      <c r="V1005" s="2"/>
    </row>
    <row r="1006" spans="2:22" ht="30" customHeight="1">
      <c r="B1006" s="62"/>
      <c r="C1006" s="16"/>
      <c r="D1006" s="63"/>
      <c r="E1006" s="64"/>
      <c r="F1006" s="16"/>
      <c r="V1006" s="2"/>
    </row>
    <row r="1007" spans="2:22" ht="30" customHeight="1">
      <c r="B1007" s="62"/>
      <c r="C1007" s="16"/>
      <c r="D1007" s="63"/>
      <c r="E1007" s="64"/>
      <c r="F1007" s="16"/>
      <c r="V1007" s="2"/>
    </row>
    <row r="1008" spans="2:22" ht="30" customHeight="1">
      <c r="B1008" s="62"/>
      <c r="C1008" s="16"/>
      <c r="D1008" s="63"/>
      <c r="E1008" s="64"/>
      <c r="F1008" s="16"/>
      <c r="V1008" s="2"/>
    </row>
    <row r="1009" spans="2:22" ht="30" customHeight="1">
      <c r="B1009" s="62"/>
      <c r="C1009" s="16"/>
      <c r="D1009" s="63"/>
      <c r="E1009" s="64"/>
      <c r="F1009" s="16"/>
      <c r="V1009" s="2"/>
    </row>
    <row r="1010" spans="2:22" ht="30" customHeight="1">
      <c r="B1010" s="62"/>
      <c r="C1010" s="16"/>
      <c r="D1010" s="63"/>
      <c r="E1010" s="64"/>
      <c r="F1010" s="16"/>
      <c r="V1010" s="2"/>
    </row>
    <row r="1011" spans="2:22" ht="30" customHeight="1">
      <c r="B1011" s="62"/>
      <c r="C1011" s="16"/>
      <c r="D1011" s="63"/>
      <c r="E1011" s="64"/>
      <c r="F1011" s="16"/>
      <c r="V1011" s="2"/>
    </row>
    <row r="1012" spans="2:22" ht="30" customHeight="1">
      <c r="B1012" s="62"/>
      <c r="C1012" s="16"/>
      <c r="D1012" s="63"/>
      <c r="E1012" s="64"/>
      <c r="F1012" s="16"/>
      <c r="V1012" s="2"/>
    </row>
    <row r="1013" spans="2:22" ht="30" customHeight="1">
      <c r="B1013" s="62"/>
      <c r="C1013" s="16"/>
      <c r="D1013" s="63"/>
      <c r="E1013" s="64"/>
      <c r="F1013" s="16"/>
      <c r="V1013" s="2"/>
    </row>
    <row r="1014" spans="2:22" ht="30" customHeight="1">
      <c r="B1014" s="62"/>
      <c r="C1014" s="16"/>
      <c r="D1014" s="63"/>
      <c r="E1014" s="64"/>
      <c r="F1014" s="16"/>
      <c r="V1014" s="2"/>
    </row>
    <row r="1015" spans="2:22" ht="30" customHeight="1">
      <c r="B1015" s="62"/>
      <c r="C1015" s="16"/>
      <c r="D1015" s="63"/>
      <c r="E1015" s="64"/>
      <c r="F1015" s="16"/>
      <c r="V1015" s="2"/>
    </row>
    <row r="1016" spans="2:22" ht="30" customHeight="1">
      <c r="B1016" s="62"/>
      <c r="C1016" s="16"/>
      <c r="D1016" s="63"/>
      <c r="E1016" s="64"/>
      <c r="F1016" s="16"/>
      <c r="V1016" s="2"/>
    </row>
    <row r="1017" spans="2:22" ht="30" customHeight="1">
      <c r="B1017" s="62"/>
      <c r="C1017" s="16"/>
      <c r="D1017" s="63"/>
      <c r="E1017" s="64"/>
      <c r="F1017" s="16"/>
      <c r="V1017" s="2"/>
    </row>
    <row r="1018" spans="2:22" ht="30" customHeight="1">
      <c r="B1018" s="62"/>
      <c r="C1018" s="16"/>
      <c r="D1018" s="63"/>
      <c r="E1018" s="64"/>
      <c r="F1018" s="16"/>
      <c r="V1018" s="2"/>
    </row>
    <row r="1019" spans="2:22" ht="30" customHeight="1">
      <c r="B1019" s="62"/>
      <c r="C1019" s="16"/>
      <c r="D1019" s="63"/>
      <c r="E1019" s="64"/>
      <c r="F1019" s="16"/>
      <c r="V1019" s="2"/>
    </row>
    <row r="1020" spans="2:22" ht="30" customHeight="1">
      <c r="B1020" s="62"/>
      <c r="C1020" s="16"/>
      <c r="D1020" s="63"/>
      <c r="E1020" s="64"/>
      <c r="F1020" s="16"/>
      <c r="V1020" s="2"/>
    </row>
    <row r="1021" spans="2:22" ht="30" customHeight="1">
      <c r="B1021" s="62"/>
      <c r="C1021" s="16"/>
      <c r="D1021" s="63"/>
      <c r="E1021" s="64"/>
      <c r="F1021" s="16"/>
      <c r="V1021" s="2"/>
    </row>
    <row r="1022" spans="2:22" ht="30" customHeight="1">
      <c r="B1022" s="62"/>
      <c r="C1022" s="16"/>
      <c r="D1022" s="63"/>
      <c r="E1022" s="64"/>
      <c r="F1022" s="16"/>
      <c r="V1022" s="2"/>
    </row>
    <row r="1023" spans="2:22" ht="30" customHeight="1">
      <c r="B1023" s="62"/>
      <c r="C1023" s="16"/>
      <c r="D1023" s="63"/>
      <c r="E1023" s="64"/>
      <c r="F1023" s="16"/>
      <c r="V1023" s="2"/>
    </row>
    <row r="1024" spans="2:22" ht="30" customHeight="1">
      <c r="B1024" s="62"/>
      <c r="C1024" s="16"/>
      <c r="D1024" s="63"/>
      <c r="E1024" s="64"/>
      <c r="F1024" s="16"/>
      <c r="V1024" s="2"/>
    </row>
    <row r="1025" spans="2:22" ht="30" customHeight="1">
      <c r="B1025" s="62"/>
      <c r="C1025" s="16"/>
      <c r="D1025" s="63"/>
      <c r="E1025" s="64"/>
      <c r="F1025" s="16"/>
      <c r="V1025" s="2"/>
    </row>
    <row r="1026" spans="2:22" ht="30" customHeight="1">
      <c r="B1026" s="62"/>
      <c r="C1026" s="16"/>
      <c r="D1026" s="63"/>
      <c r="E1026" s="64"/>
      <c r="F1026" s="16"/>
      <c r="V1026" s="2"/>
    </row>
    <row r="1027" spans="2:22" ht="30" customHeight="1">
      <c r="B1027" s="62"/>
      <c r="C1027" s="16"/>
      <c r="D1027" s="63"/>
      <c r="E1027" s="64"/>
      <c r="F1027" s="16"/>
      <c r="V1027" s="2"/>
    </row>
    <row r="1028" spans="2:22" ht="30" customHeight="1">
      <c r="B1028" s="62"/>
      <c r="C1028" s="16"/>
      <c r="D1028" s="63"/>
      <c r="E1028" s="64"/>
      <c r="F1028" s="16"/>
    </row>
    <row r="1029" spans="2:22" ht="30" customHeight="1">
      <c r="B1029" s="62"/>
      <c r="C1029" s="16"/>
      <c r="D1029" s="63"/>
      <c r="E1029" s="64"/>
      <c r="F1029" s="16"/>
    </row>
  </sheetData>
  <autoFilter ref="A1:AI369" xr:uid="{00000000-0009-0000-0000-000001000000}"/>
  <sortState xmlns:xlrd2="http://schemas.microsoft.com/office/spreadsheetml/2017/richdata2" ref="B3:T312">
    <sortCondition ref="B3:B312"/>
    <sortCondition ref="C3:C312"/>
    <sortCondition ref="D3:D312"/>
  </sortState>
  <conditionalFormatting sqref="K1">
    <cfRule type="containsText" dxfId="10" priority="1" operator="containsText" text="未">
      <formula>NOT(ISERROR(SEARCH("未",K1)))</formula>
    </cfRule>
  </conditionalFormatting>
  <conditionalFormatting sqref="E1:E376 E482:E1048576">
    <cfRule type="duplicateValues" dxfId="9" priority="25"/>
  </conditionalFormatting>
  <conditionalFormatting sqref="K2:K1048576 O1:S1048576">
    <cfRule type="containsText" dxfId="8" priority="10" operator="containsText" text="未">
      <formula>NOT(ISERROR(SEARCH("未",K1)))</formula>
    </cfRule>
  </conditionalFormatting>
  <dataValidations count="5">
    <dataValidation type="list" allowBlank="1" showInputMessage="1" showErrorMessage="1" sqref="AK96 AK98 AK222 AK227 AK232 AK3:AK92 AK100:AK220 AK224:AK225 AK234:AK260 AK262:AK264 AK266:AK269 AK272:AK307 AK309:AK347 AK356:AK363 AK365:AK369" xr:uid="{00000000-0002-0000-0100-000000000000}">
      <formula1>$X$3:$X$23</formula1>
    </dataValidation>
    <dataValidation type="list" allowBlank="1" showInputMessage="1" showErrorMessage="1" sqref="F100 F182 F184 F242 F260 F267 F270 F278 F282 F285 F287 F290 F50:F61 F63:F71 F73:F74 F76:F83 F87:F88 F91:F97 F102:F106 F109:F111 F113:F120 F122:F140 F142:F145 F147:F160 F162:F166 F168:F173 F175:F177 F179:F180 F187:F189 F195:F200 F202:F205 F211:F214 F216:F219 F221:F225 F228:F230 F232:F240 F244:F247 F249:F253 F255:F258 F272:F273 F275:F276 F292:F296" xr:uid="{00000000-0002-0000-0100-000001000000}">
      <formula1>$W$3:$W$6</formula1>
    </dataValidation>
    <dataValidation type="list" allowBlank="1" showInputMessage="1" showErrorMessage="1" sqref="G251" xr:uid="{00000000-0002-0000-0100-000002000000}">
      <formula1>$V$3:$V$47</formula1>
    </dataValidation>
    <dataValidation type="list" allowBlank="1" showInputMessage="1" showErrorMessage="1" sqref="N298 N3:N296" xr:uid="{00000000-0002-0000-0100-000003000000}">
      <formula1>$S$3:$S$9</formula1>
    </dataValidation>
    <dataValidation type="list" allowBlank="1" showInputMessage="1" showErrorMessage="1" sqref="G4:G34 G36:G123 G125:G226 G228:G250 G252:G290 G293:G298 G300:G301 G303:G312" xr:uid="{00000000-0002-0000-0100-000004000000}">
      <formula1>$V$3:$V$44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0224-E72E-4CB4-B292-6E10F7B6D85D}">
  <sheetPr filterMode="1">
    <tabColor rgb="FF92D050"/>
  </sheetPr>
  <dimension ref="A1:C369"/>
  <sheetViews>
    <sheetView tabSelected="1" workbookViewId="0">
      <pane ySplit="1" topLeftCell="A204" activePane="bottomLeft" state="frozen"/>
      <selection pane="bottomLeft" sqref="A1:B368"/>
    </sheetView>
  </sheetViews>
  <sheetFormatPr defaultRowHeight="14.5"/>
  <cols>
    <col min="1" max="1" width="28.90625" customWidth="1"/>
    <col min="2" max="2" width="23.453125" customWidth="1"/>
  </cols>
  <sheetData>
    <row r="1" spans="1:3">
      <c r="A1" t="s">
        <v>16</v>
      </c>
      <c r="C1" t="s">
        <v>562</v>
      </c>
    </row>
    <row r="2" spans="1:3" hidden="1">
      <c r="A2" t="s">
        <v>36</v>
      </c>
    </row>
    <row r="3" spans="1:3" hidden="1">
      <c r="A3" t="s">
        <v>46</v>
      </c>
    </row>
    <row r="4" spans="1:3">
      <c r="A4" t="s">
        <v>53</v>
      </c>
      <c r="B4" t="s">
        <v>563</v>
      </c>
    </row>
    <row r="5" spans="1:3" hidden="1">
      <c r="A5" t="s">
        <v>62</v>
      </c>
    </row>
    <row r="6" spans="1:3">
      <c r="A6" t="s">
        <v>68</v>
      </c>
      <c r="B6" t="s">
        <v>564</v>
      </c>
    </row>
    <row r="7" spans="1:3">
      <c r="A7" t="s">
        <v>78</v>
      </c>
      <c r="B7" t="s">
        <v>565</v>
      </c>
    </row>
    <row r="8" spans="1:3" hidden="1">
      <c r="A8" t="s">
        <v>85</v>
      </c>
    </row>
    <row r="9" spans="1:3" hidden="1">
      <c r="A9" t="s">
        <v>95</v>
      </c>
    </row>
    <row r="10" spans="1:3">
      <c r="A10" t="s">
        <v>101</v>
      </c>
      <c r="B10" t="s">
        <v>565</v>
      </c>
    </row>
    <row r="11" spans="1:3" hidden="1">
      <c r="A11" t="s">
        <v>106</v>
      </c>
    </row>
    <row r="12" spans="1:3" hidden="1">
      <c r="A12" t="s">
        <v>114</v>
      </c>
    </row>
    <row r="13" spans="1:3" hidden="1">
      <c r="A13" t="s">
        <v>118</v>
      </c>
    </row>
    <row r="14" spans="1:3" hidden="1">
      <c r="A14" t="s">
        <v>122</v>
      </c>
    </row>
    <row r="15" spans="1:3" hidden="1">
      <c r="A15" t="s">
        <v>127</v>
      </c>
    </row>
    <row r="16" spans="1:3" hidden="1">
      <c r="A16" t="s">
        <v>133</v>
      </c>
    </row>
    <row r="17" spans="1:2" hidden="1">
      <c r="A17" t="s">
        <v>139</v>
      </c>
    </row>
    <row r="18" spans="1:2" hidden="1">
      <c r="A18" t="s">
        <v>144</v>
      </c>
    </row>
    <row r="19" spans="1:2" hidden="1">
      <c r="A19" t="s">
        <v>147</v>
      </c>
    </row>
    <row r="20" spans="1:2" hidden="1">
      <c r="A20" t="s">
        <v>150</v>
      </c>
    </row>
    <row r="21" spans="1:2" hidden="1">
      <c r="A21" t="s">
        <v>153</v>
      </c>
    </row>
    <row r="22" spans="1:2" hidden="1">
      <c r="A22" t="s">
        <v>155</v>
      </c>
    </row>
    <row r="23" spans="1:2" hidden="1">
      <c r="A23" t="s">
        <v>159</v>
      </c>
    </row>
    <row r="24" spans="1:2" hidden="1">
      <c r="A24" t="s">
        <v>162</v>
      </c>
    </row>
    <row r="25" spans="1:2" hidden="1">
      <c r="A25" t="s">
        <v>169</v>
      </c>
    </row>
    <row r="26" spans="1:2" hidden="1">
      <c r="A26" t="s">
        <v>174</v>
      </c>
    </row>
    <row r="27" spans="1:2">
      <c r="A27" t="s">
        <v>171</v>
      </c>
      <c r="B27" t="s">
        <v>567</v>
      </c>
    </row>
    <row r="28" spans="1:2">
      <c r="A28" t="s">
        <v>178</v>
      </c>
      <c r="B28" t="s">
        <v>564</v>
      </c>
    </row>
    <row r="29" spans="1:2">
      <c r="A29" t="s">
        <v>182</v>
      </c>
      <c r="B29" t="s">
        <v>563</v>
      </c>
    </row>
    <row r="30" spans="1:2" hidden="1">
      <c r="A30" t="s">
        <v>185</v>
      </c>
    </row>
    <row r="31" spans="1:2" hidden="1">
      <c r="A31" t="s">
        <v>188</v>
      </c>
    </row>
    <row r="32" spans="1:2" hidden="1">
      <c r="A32" t="s">
        <v>192</v>
      </c>
    </row>
    <row r="33" spans="1:2">
      <c r="A33" t="s">
        <v>195</v>
      </c>
      <c r="B33" t="s">
        <v>563</v>
      </c>
    </row>
    <row r="34" spans="1:2" hidden="1">
      <c r="A34" t="s">
        <v>197</v>
      </c>
    </row>
    <row r="35" spans="1:2" hidden="1">
      <c r="A35" t="s">
        <v>152</v>
      </c>
    </row>
    <row r="36" spans="1:2">
      <c r="A36" t="s">
        <v>201</v>
      </c>
      <c r="B36" t="s">
        <v>565</v>
      </c>
    </row>
    <row r="37" spans="1:2" hidden="1">
      <c r="A37" t="s">
        <v>203</v>
      </c>
    </row>
    <row r="38" spans="1:2">
      <c r="A38" t="s">
        <v>206</v>
      </c>
      <c r="B38" t="s">
        <v>565</v>
      </c>
    </row>
    <row r="39" spans="1:2">
      <c r="A39" t="s">
        <v>149</v>
      </c>
      <c r="B39" t="s">
        <v>565</v>
      </c>
    </row>
    <row r="40" spans="1:2">
      <c r="A40" t="s">
        <v>209</v>
      </c>
      <c r="B40" t="s">
        <v>567</v>
      </c>
    </row>
    <row r="41" spans="1:2" hidden="1">
      <c r="A41" t="s">
        <v>211</v>
      </c>
    </row>
    <row r="42" spans="1:2">
      <c r="A42" t="s">
        <v>215</v>
      </c>
      <c r="B42" t="s">
        <v>567</v>
      </c>
    </row>
    <row r="43" spans="1:2" hidden="1">
      <c r="A43" t="s">
        <v>218</v>
      </c>
    </row>
    <row r="44" spans="1:2" hidden="1">
      <c r="A44" t="s">
        <v>220</v>
      </c>
    </row>
    <row r="45" spans="1:2" hidden="1">
      <c r="A45" t="s">
        <v>222</v>
      </c>
    </row>
    <row r="46" spans="1:2" hidden="1">
      <c r="A46" t="s">
        <v>223</v>
      </c>
    </row>
    <row r="47" spans="1:2" hidden="1">
      <c r="A47" t="s">
        <v>210</v>
      </c>
    </row>
    <row r="48" spans="1:2" hidden="1">
      <c r="A48" t="s">
        <v>225</v>
      </c>
    </row>
    <row r="49" spans="1:2">
      <c r="A49" t="s">
        <v>227</v>
      </c>
      <c r="B49" t="s">
        <v>569</v>
      </c>
    </row>
    <row r="50" spans="1:2" hidden="1">
      <c r="A50" t="s">
        <v>142</v>
      </c>
    </row>
    <row r="51" spans="1:2" hidden="1">
      <c r="A51" t="s">
        <v>231</v>
      </c>
    </row>
    <row r="52" spans="1:2" hidden="1">
      <c r="A52" t="s">
        <v>233</v>
      </c>
    </row>
    <row r="53" spans="1:2" hidden="1">
      <c r="A53" t="s">
        <v>235</v>
      </c>
    </row>
    <row r="54" spans="1:2" hidden="1">
      <c r="A54" t="s">
        <v>237</v>
      </c>
    </row>
    <row r="55" spans="1:2" hidden="1">
      <c r="A55" t="s">
        <v>232</v>
      </c>
    </row>
    <row r="56" spans="1:2">
      <c r="A56" t="s">
        <v>239</v>
      </c>
      <c r="B56" t="s">
        <v>564</v>
      </c>
    </row>
    <row r="57" spans="1:2" hidden="1">
      <c r="A57" t="s">
        <v>121</v>
      </c>
    </row>
    <row r="58" spans="1:2" hidden="1">
      <c r="A58" t="s">
        <v>240</v>
      </c>
    </row>
    <row r="59" spans="1:2" hidden="1">
      <c r="A59" t="s">
        <v>242</v>
      </c>
    </row>
    <row r="60" spans="1:2" hidden="1">
      <c r="A60" t="s">
        <v>84</v>
      </c>
    </row>
    <row r="61" spans="1:2" hidden="1">
      <c r="A61" t="s">
        <v>247</v>
      </c>
    </row>
    <row r="62" spans="1:2" hidden="1">
      <c r="A62" t="s">
        <v>250</v>
      </c>
    </row>
    <row r="63" spans="1:2" hidden="1">
      <c r="A63" t="s">
        <v>198</v>
      </c>
    </row>
    <row r="64" spans="1:2" hidden="1">
      <c r="A64" t="s">
        <v>92</v>
      </c>
    </row>
    <row r="65" spans="1:2" hidden="1">
      <c r="A65" t="s">
        <v>256</v>
      </c>
    </row>
    <row r="66" spans="1:2">
      <c r="A66" t="s">
        <v>259</v>
      </c>
      <c r="B66" t="s">
        <v>569</v>
      </c>
    </row>
    <row r="67" spans="1:2" hidden="1">
      <c r="A67" t="s">
        <v>104</v>
      </c>
    </row>
    <row r="68" spans="1:2" hidden="1">
      <c r="A68" t="s">
        <v>262</v>
      </c>
    </row>
    <row r="69" spans="1:2" hidden="1">
      <c r="A69" t="s">
        <v>234</v>
      </c>
    </row>
    <row r="70" spans="1:2" hidden="1">
      <c r="A70" t="s">
        <v>264</v>
      </c>
    </row>
    <row r="71" spans="1:2" hidden="1">
      <c r="A71" t="s">
        <v>266</v>
      </c>
    </row>
    <row r="72" spans="1:2" hidden="1">
      <c r="A72" t="s">
        <v>267</v>
      </c>
    </row>
    <row r="73" spans="1:2" hidden="1">
      <c r="A73" t="s">
        <v>219</v>
      </c>
    </row>
    <row r="74" spans="1:2">
      <c r="A74" t="s">
        <v>268</v>
      </c>
      <c r="B74" t="s">
        <v>569</v>
      </c>
    </row>
    <row r="75" spans="1:2" hidden="1">
      <c r="A75" t="s">
        <v>272</v>
      </c>
    </row>
    <row r="76" spans="1:2" hidden="1">
      <c r="A76" t="s">
        <v>126</v>
      </c>
    </row>
    <row r="77" spans="1:2" hidden="1">
      <c r="A77" t="s">
        <v>241</v>
      </c>
    </row>
    <row r="78" spans="1:2" hidden="1">
      <c r="A78" t="s">
        <v>275</v>
      </c>
    </row>
    <row r="79" spans="1:2" hidden="1">
      <c r="A79" t="s">
        <v>277</v>
      </c>
    </row>
    <row r="80" spans="1:2" hidden="1">
      <c r="A80" t="s">
        <v>251</v>
      </c>
    </row>
    <row r="81" spans="1:1" hidden="1">
      <c r="A81" t="s">
        <v>238</v>
      </c>
    </row>
    <row r="82" spans="1:1" hidden="1">
      <c r="A82" t="s">
        <v>146</v>
      </c>
    </row>
    <row r="83" spans="1:1" hidden="1">
      <c r="A83" t="s">
        <v>278</v>
      </c>
    </row>
    <row r="84" spans="1:1" hidden="1">
      <c r="A84" t="s">
        <v>279</v>
      </c>
    </row>
    <row r="85" spans="1:1" hidden="1">
      <c r="A85" t="s">
        <v>280</v>
      </c>
    </row>
    <row r="86" spans="1:1" hidden="1">
      <c r="A86" t="s">
        <v>281</v>
      </c>
    </row>
    <row r="87" spans="1:1" hidden="1">
      <c r="A87" t="s">
        <v>282</v>
      </c>
    </row>
    <row r="88" spans="1:1" hidden="1">
      <c r="A88" t="s">
        <v>66</v>
      </c>
    </row>
    <row r="89" spans="1:1" hidden="1">
      <c r="A89" t="s">
        <v>283</v>
      </c>
    </row>
    <row r="90" spans="1:1" hidden="1">
      <c r="A90" t="s">
        <v>284</v>
      </c>
    </row>
    <row r="91" spans="1:1" hidden="1">
      <c r="A91" t="s">
        <v>285</v>
      </c>
    </row>
    <row r="92" spans="1:1" hidden="1">
      <c r="A92" t="s">
        <v>286</v>
      </c>
    </row>
    <row r="93" spans="1:1" hidden="1">
      <c r="A93" t="s">
        <v>287</v>
      </c>
    </row>
    <row r="94" spans="1:1" hidden="1">
      <c r="A94" t="s">
        <v>288</v>
      </c>
    </row>
    <row r="95" spans="1:1" hidden="1">
      <c r="A95" t="s">
        <v>289</v>
      </c>
    </row>
    <row r="96" spans="1:1" hidden="1">
      <c r="A96" t="s">
        <v>290</v>
      </c>
    </row>
    <row r="97" spans="1:2" hidden="1">
      <c r="A97" t="s">
        <v>291</v>
      </c>
    </row>
    <row r="98" spans="1:2" hidden="1">
      <c r="A98" t="s">
        <v>292</v>
      </c>
    </row>
    <row r="99" spans="1:2" hidden="1">
      <c r="A99" t="s">
        <v>293</v>
      </c>
    </row>
    <row r="100" spans="1:2" hidden="1">
      <c r="A100" t="s">
        <v>294</v>
      </c>
    </row>
    <row r="101" spans="1:2" hidden="1">
      <c r="A101" t="s">
        <v>295</v>
      </c>
    </row>
    <row r="102" spans="1:2" hidden="1">
      <c r="A102" t="s">
        <v>296</v>
      </c>
    </row>
    <row r="103" spans="1:2" hidden="1">
      <c r="A103" t="s">
        <v>297</v>
      </c>
    </row>
    <row r="104" spans="1:2" hidden="1">
      <c r="A104" t="s">
        <v>298</v>
      </c>
    </row>
    <row r="105" spans="1:2" hidden="1">
      <c r="A105" t="s">
        <v>299</v>
      </c>
    </row>
    <row r="106" spans="1:2" hidden="1">
      <c r="A106" t="s">
        <v>300</v>
      </c>
    </row>
    <row r="107" spans="1:2">
      <c r="A107" t="s">
        <v>301</v>
      </c>
      <c r="B107" t="s">
        <v>569</v>
      </c>
    </row>
    <row r="108" spans="1:2">
      <c r="A108" t="s">
        <v>302</v>
      </c>
      <c r="B108" t="s">
        <v>569</v>
      </c>
    </row>
    <row r="109" spans="1:2">
      <c r="A109" t="s">
        <v>303</v>
      </c>
      <c r="B109" t="s">
        <v>566</v>
      </c>
    </row>
    <row r="110" spans="1:2" hidden="1">
      <c r="A110" t="s">
        <v>304</v>
      </c>
    </row>
    <row r="111" spans="1:2" hidden="1">
      <c r="A111" t="s">
        <v>305</v>
      </c>
    </row>
    <row r="112" spans="1:2" hidden="1">
      <c r="A112" t="s">
        <v>306</v>
      </c>
    </row>
    <row r="113" spans="1:1" hidden="1">
      <c r="A113" t="s">
        <v>307</v>
      </c>
    </row>
    <row r="114" spans="1:1" hidden="1">
      <c r="A114" t="s">
        <v>308</v>
      </c>
    </row>
    <row r="115" spans="1:1" hidden="1">
      <c r="A115" t="s">
        <v>309</v>
      </c>
    </row>
    <row r="116" spans="1:1" hidden="1">
      <c r="A116" t="s">
        <v>311</v>
      </c>
    </row>
    <row r="117" spans="1:1" hidden="1">
      <c r="A117" t="s">
        <v>312</v>
      </c>
    </row>
    <row r="118" spans="1:1" hidden="1">
      <c r="A118" t="s">
        <v>313</v>
      </c>
    </row>
    <row r="119" spans="1:1" hidden="1">
      <c r="A119" t="s">
        <v>314</v>
      </c>
    </row>
    <row r="120" spans="1:1" hidden="1">
      <c r="A120" t="s">
        <v>315</v>
      </c>
    </row>
    <row r="121" spans="1:1" hidden="1">
      <c r="A121" t="s">
        <v>316</v>
      </c>
    </row>
    <row r="122" spans="1:1" hidden="1">
      <c r="A122" t="s">
        <v>317</v>
      </c>
    </row>
    <row r="123" spans="1:1" hidden="1">
      <c r="A123" t="s">
        <v>318</v>
      </c>
    </row>
    <row r="124" spans="1:1" hidden="1">
      <c r="A124" t="s">
        <v>319</v>
      </c>
    </row>
    <row r="125" spans="1:1" hidden="1">
      <c r="A125" t="s">
        <v>320</v>
      </c>
    </row>
    <row r="126" spans="1:1" hidden="1">
      <c r="A126" t="s">
        <v>322</v>
      </c>
    </row>
    <row r="127" spans="1:1" hidden="1">
      <c r="A127" t="s">
        <v>323</v>
      </c>
    </row>
    <row r="128" spans="1:1" hidden="1">
      <c r="A128" t="s">
        <v>324</v>
      </c>
    </row>
    <row r="129" spans="1:2" hidden="1">
      <c r="A129" t="s">
        <v>326</v>
      </c>
    </row>
    <row r="130" spans="1:2">
      <c r="A130" t="s">
        <v>327</v>
      </c>
      <c r="B130" t="s">
        <v>563</v>
      </c>
    </row>
    <row r="131" spans="1:2" hidden="1">
      <c r="A131" t="s">
        <v>329</v>
      </c>
    </row>
    <row r="132" spans="1:2" hidden="1">
      <c r="A132" t="s">
        <v>331</v>
      </c>
    </row>
    <row r="133" spans="1:2" hidden="1">
      <c r="A133" t="s">
        <v>332</v>
      </c>
    </row>
    <row r="134" spans="1:2" hidden="1">
      <c r="A134" t="s">
        <v>333</v>
      </c>
    </row>
    <row r="135" spans="1:2" hidden="1">
      <c r="A135" t="s">
        <v>334</v>
      </c>
    </row>
    <row r="136" spans="1:2" hidden="1">
      <c r="A136" t="s">
        <v>335</v>
      </c>
    </row>
    <row r="137" spans="1:2">
      <c r="A137" t="s">
        <v>132</v>
      </c>
      <c r="B137" t="s">
        <v>565</v>
      </c>
    </row>
    <row r="138" spans="1:2" hidden="1">
      <c r="A138" t="s">
        <v>336</v>
      </c>
    </row>
    <row r="139" spans="1:2" hidden="1">
      <c r="A139" t="s">
        <v>337</v>
      </c>
    </row>
    <row r="140" spans="1:2" hidden="1">
      <c r="A140" t="s">
        <v>338</v>
      </c>
    </row>
    <row r="141" spans="1:2" hidden="1">
      <c r="A141" t="s">
        <v>339</v>
      </c>
    </row>
    <row r="142" spans="1:2" hidden="1">
      <c r="A142" t="s">
        <v>340</v>
      </c>
    </row>
    <row r="143" spans="1:2" hidden="1">
      <c r="A143" t="s">
        <v>341</v>
      </c>
    </row>
    <row r="144" spans="1:2" hidden="1">
      <c r="A144" t="s">
        <v>342</v>
      </c>
    </row>
    <row r="145" spans="1:1" hidden="1">
      <c r="A145" t="s">
        <v>343</v>
      </c>
    </row>
    <row r="146" spans="1:1" hidden="1">
      <c r="A146" t="s">
        <v>344</v>
      </c>
    </row>
    <row r="147" spans="1:1" hidden="1">
      <c r="A147" t="s">
        <v>196</v>
      </c>
    </row>
    <row r="148" spans="1:1" hidden="1">
      <c r="A148" t="s">
        <v>346</v>
      </c>
    </row>
    <row r="149" spans="1:1" hidden="1">
      <c r="A149" t="s">
        <v>347</v>
      </c>
    </row>
    <row r="150" spans="1:1" hidden="1">
      <c r="A150" t="s">
        <v>342</v>
      </c>
    </row>
    <row r="151" spans="1:1" hidden="1">
      <c r="A151" t="s">
        <v>200</v>
      </c>
    </row>
    <row r="152" spans="1:1" hidden="1">
      <c r="A152" t="s">
        <v>348</v>
      </c>
    </row>
    <row r="153" spans="1:1" hidden="1">
      <c r="A153" t="s">
        <v>349</v>
      </c>
    </row>
    <row r="154" spans="1:1" hidden="1">
      <c r="A154" t="s">
        <v>350</v>
      </c>
    </row>
    <row r="155" spans="1:1" hidden="1">
      <c r="A155" t="s">
        <v>351</v>
      </c>
    </row>
    <row r="156" spans="1:1" hidden="1">
      <c r="A156" t="s">
        <v>352</v>
      </c>
    </row>
    <row r="157" spans="1:1" hidden="1">
      <c r="A157" t="s">
        <v>353</v>
      </c>
    </row>
    <row r="158" spans="1:1" hidden="1">
      <c r="A158" t="s">
        <v>175</v>
      </c>
    </row>
    <row r="159" spans="1:1" hidden="1">
      <c r="A159" t="s">
        <v>177</v>
      </c>
    </row>
    <row r="160" spans="1:1" hidden="1">
      <c r="A160" t="s">
        <v>354</v>
      </c>
    </row>
    <row r="161" spans="1:2" hidden="1">
      <c r="A161" t="s">
        <v>355</v>
      </c>
    </row>
    <row r="162" spans="1:2" hidden="1">
      <c r="A162" t="s">
        <v>356</v>
      </c>
    </row>
    <row r="163" spans="1:2" hidden="1">
      <c r="A163" t="s">
        <v>357</v>
      </c>
    </row>
    <row r="164" spans="1:2" hidden="1">
      <c r="A164" t="s">
        <v>358</v>
      </c>
    </row>
    <row r="165" spans="1:2" hidden="1">
      <c r="A165" t="s">
        <v>360</v>
      </c>
    </row>
    <row r="166" spans="1:2" hidden="1">
      <c r="A166" t="s">
        <v>361</v>
      </c>
    </row>
    <row r="167" spans="1:2" hidden="1">
      <c r="A167" t="s">
        <v>362</v>
      </c>
    </row>
    <row r="168" spans="1:2" hidden="1">
      <c r="A168" t="s">
        <v>364</v>
      </c>
    </row>
    <row r="169" spans="1:2" hidden="1">
      <c r="A169" t="s">
        <v>365</v>
      </c>
    </row>
    <row r="170" spans="1:2" hidden="1">
      <c r="A170" t="s">
        <v>366</v>
      </c>
    </row>
    <row r="171" spans="1:2" hidden="1">
      <c r="A171" t="s">
        <v>367</v>
      </c>
    </row>
    <row r="172" spans="1:2">
      <c r="A172" t="s">
        <v>75</v>
      </c>
      <c r="B172" t="s">
        <v>568</v>
      </c>
    </row>
    <row r="173" spans="1:2" hidden="1">
      <c r="A173" t="s">
        <v>368</v>
      </c>
    </row>
    <row r="174" spans="1:2" hidden="1">
      <c r="A174" t="s">
        <v>369</v>
      </c>
    </row>
    <row r="175" spans="1:2" hidden="1">
      <c r="A175" t="s">
        <v>370</v>
      </c>
    </row>
    <row r="176" spans="1:2" hidden="1">
      <c r="A176" t="s">
        <v>371</v>
      </c>
    </row>
    <row r="177" spans="1:1" hidden="1">
      <c r="A177" t="s">
        <v>372</v>
      </c>
    </row>
    <row r="178" spans="1:1" hidden="1">
      <c r="A178" t="s">
        <v>373</v>
      </c>
    </row>
    <row r="179" spans="1:1" hidden="1">
      <c r="A179" t="s">
        <v>374</v>
      </c>
    </row>
    <row r="180" spans="1:1" hidden="1">
      <c r="A180" t="s">
        <v>375</v>
      </c>
    </row>
    <row r="181" spans="1:1" hidden="1">
      <c r="A181" t="s">
        <v>376</v>
      </c>
    </row>
    <row r="182" spans="1:1" hidden="1">
      <c r="A182" t="s">
        <v>377</v>
      </c>
    </row>
    <row r="183" spans="1:1" hidden="1">
      <c r="A183" t="s">
        <v>378</v>
      </c>
    </row>
    <row r="184" spans="1:1" hidden="1">
      <c r="A184" t="s">
        <v>379</v>
      </c>
    </row>
    <row r="185" spans="1:1" hidden="1">
      <c r="A185" t="s">
        <v>381</v>
      </c>
    </row>
    <row r="186" spans="1:1" hidden="1">
      <c r="A186" t="s">
        <v>382</v>
      </c>
    </row>
    <row r="187" spans="1:1" hidden="1">
      <c r="A187" t="s">
        <v>383</v>
      </c>
    </row>
    <row r="188" spans="1:1" hidden="1">
      <c r="A188" t="s">
        <v>385</v>
      </c>
    </row>
    <row r="189" spans="1:1" hidden="1">
      <c r="A189" t="s">
        <v>387</v>
      </c>
    </row>
    <row r="190" spans="1:1" hidden="1">
      <c r="A190" t="s">
        <v>388</v>
      </c>
    </row>
    <row r="191" spans="1:1" hidden="1">
      <c r="A191" t="s">
        <v>389</v>
      </c>
    </row>
    <row r="192" spans="1:1" hidden="1">
      <c r="A192" t="s">
        <v>390</v>
      </c>
    </row>
    <row r="193" spans="1:2" hidden="1">
      <c r="A193" t="s">
        <v>391</v>
      </c>
    </row>
    <row r="194" spans="1:2">
      <c r="A194" t="s">
        <v>392</v>
      </c>
      <c r="B194" t="s">
        <v>563</v>
      </c>
    </row>
    <row r="195" spans="1:2">
      <c r="A195" t="s">
        <v>217</v>
      </c>
      <c r="B195" t="s">
        <v>563</v>
      </c>
    </row>
    <row r="196" spans="1:2" hidden="1">
      <c r="A196" t="s">
        <v>393</v>
      </c>
    </row>
    <row r="197" spans="1:2" hidden="1">
      <c r="A197" t="s">
        <v>395</v>
      </c>
    </row>
    <row r="198" spans="1:2" hidden="1">
      <c r="A198" t="s">
        <v>396</v>
      </c>
    </row>
    <row r="199" spans="1:2" hidden="1">
      <c r="A199" t="s">
        <v>397</v>
      </c>
    </row>
    <row r="200" spans="1:2" hidden="1">
      <c r="A200" t="s">
        <v>399</v>
      </c>
    </row>
    <row r="201" spans="1:2">
      <c r="A201" t="s">
        <v>400</v>
      </c>
      <c r="B201" t="s">
        <v>566</v>
      </c>
    </row>
    <row r="202" spans="1:2" hidden="1">
      <c r="A202" t="s">
        <v>401</v>
      </c>
    </row>
    <row r="203" spans="1:2" hidden="1">
      <c r="A203" t="s">
        <v>137</v>
      </c>
    </row>
    <row r="204" spans="1:2">
      <c r="A204" t="s">
        <v>403</v>
      </c>
      <c r="B204" t="s">
        <v>566</v>
      </c>
    </row>
    <row r="205" spans="1:2" hidden="1">
      <c r="A205" t="s">
        <v>405</v>
      </c>
    </row>
    <row r="206" spans="1:2" hidden="1">
      <c r="A206" t="s">
        <v>406</v>
      </c>
    </row>
    <row r="207" spans="1:2" hidden="1">
      <c r="A207" t="s">
        <v>407</v>
      </c>
    </row>
    <row r="208" spans="1:2" hidden="1">
      <c r="A208" t="s">
        <v>408</v>
      </c>
    </row>
    <row r="209" spans="1:2" hidden="1">
      <c r="A209" t="s">
        <v>257</v>
      </c>
    </row>
    <row r="210" spans="1:2" hidden="1">
      <c r="A210" t="s">
        <v>409</v>
      </c>
    </row>
    <row r="211" spans="1:2" hidden="1">
      <c r="A211" t="s">
        <v>411</v>
      </c>
    </row>
    <row r="212" spans="1:2" hidden="1">
      <c r="A212" t="s">
        <v>244</v>
      </c>
    </row>
    <row r="213" spans="1:2" hidden="1">
      <c r="A213" t="s">
        <v>412</v>
      </c>
    </row>
    <row r="214" spans="1:2" hidden="1">
      <c r="A214" t="s">
        <v>248</v>
      </c>
    </row>
    <row r="215" spans="1:2" hidden="1">
      <c r="A215" t="s">
        <v>413</v>
      </c>
    </row>
    <row r="216" spans="1:2" hidden="1">
      <c r="A216" t="s">
        <v>260</v>
      </c>
    </row>
    <row r="217" spans="1:2" hidden="1">
      <c r="A217" t="s">
        <v>414</v>
      </c>
    </row>
    <row r="218" spans="1:2">
      <c r="A218" t="s">
        <v>415</v>
      </c>
      <c r="B218" t="s">
        <v>563</v>
      </c>
    </row>
    <row r="219" spans="1:2" hidden="1">
      <c r="A219" t="s">
        <v>255</v>
      </c>
    </row>
    <row r="220" spans="1:2" hidden="1">
      <c r="A220" t="s">
        <v>416</v>
      </c>
    </row>
    <row r="221" spans="1:2" hidden="1">
      <c r="A221" t="s">
        <v>417</v>
      </c>
    </row>
    <row r="222" spans="1:2" hidden="1">
      <c r="A222" t="s">
        <v>418</v>
      </c>
    </row>
    <row r="223" spans="1:2">
      <c r="A223" t="s">
        <v>99</v>
      </c>
      <c r="B223" t="s">
        <v>564</v>
      </c>
    </row>
    <row r="224" spans="1:2" hidden="1">
      <c r="A224" t="s">
        <v>419</v>
      </c>
    </row>
    <row r="225" spans="1:2" hidden="1">
      <c r="A225" t="s">
        <v>228</v>
      </c>
    </row>
    <row r="226" spans="1:2" hidden="1">
      <c r="A226" t="s">
        <v>420</v>
      </c>
    </row>
    <row r="227" spans="1:2" hidden="1">
      <c r="A227" t="s">
        <v>421</v>
      </c>
    </row>
    <row r="228" spans="1:2">
      <c r="A228" t="s">
        <v>422</v>
      </c>
      <c r="B228" t="s">
        <v>563</v>
      </c>
    </row>
    <row r="229" spans="1:2" hidden="1">
      <c r="A229" t="s">
        <v>60</v>
      </c>
    </row>
    <row r="230" spans="1:2" hidden="1">
      <c r="A230" t="s">
        <v>423</v>
      </c>
    </row>
    <row r="231" spans="1:2" hidden="1">
      <c r="A231" t="s">
        <v>190</v>
      </c>
    </row>
    <row r="232" spans="1:2" hidden="1">
      <c r="A232" t="s">
        <v>425</v>
      </c>
    </row>
    <row r="233" spans="1:2" hidden="1">
      <c r="A233" t="s">
        <v>426</v>
      </c>
    </row>
    <row r="234" spans="1:2" hidden="1">
      <c r="A234" t="s">
        <v>51</v>
      </c>
    </row>
    <row r="235" spans="1:2" hidden="1">
      <c r="A235" t="s">
        <v>230</v>
      </c>
    </row>
    <row r="236" spans="1:2" hidden="1">
      <c r="A236" t="s">
        <v>428</v>
      </c>
    </row>
    <row r="237" spans="1:2" hidden="1">
      <c r="A237" t="s">
        <v>429</v>
      </c>
    </row>
    <row r="238" spans="1:2" hidden="1">
      <c r="A238" t="s">
        <v>430</v>
      </c>
    </row>
    <row r="239" spans="1:2" hidden="1">
      <c r="A239" t="s">
        <v>431</v>
      </c>
    </row>
    <row r="240" spans="1:2" hidden="1">
      <c r="A240" t="s">
        <v>194</v>
      </c>
    </row>
    <row r="241" spans="1:1" hidden="1">
      <c r="A241" t="s">
        <v>432</v>
      </c>
    </row>
    <row r="242" spans="1:1" hidden="1">
      <c r="A242" t="s">
        <v>433</v>
      </c>
    </row>
    <row r="243" spans="1:1" hidden="1">
      <c r="A243" t="s">
        <v>432</v>
      </c>
    </row>
    <row r="244" spans="1:1" hidden="1">
      <c r="A244" t="s">
        <v>184</v>
      </c>
    </row>
    <row r="245" spans="1:1" hidden="1">
      <c r="A245" t="s">
        <v>434</v>
      </c>
    </row>
    <row r="246" spans="1:1" hidden="1">
      <c r="A246" t="s">
        <v>435</v>
      </c>
    </row>
    <row r="247" spans="1:1" hidden="1">
      <c r="A247" t="s">
        <v>39</v>
      </c>
    </row>
    <row r="248" spans="1:1" hidden="1">
      <c r="A248" t="s">
        <v>436</v>
      </c>
    </row>
    <row r="249" spans="1:1" hidden="1">
      <c r="A249" t="s">
        <v>437</v>
      </c>
    </row>
    <row r="250" spans="1:1" hidden="1">
      <c r="A250" t="s">
        <v>438</v>
      </c>
    </row>
    <row r="251" spans="1:1" hidden="1">
      <c r="A251" t="s">
        <v>439</v>
      </c>
    </row>
    <row r="252" spans="1:1" hidden="1">
      <c r="A252" t="s">
        <v>440</v>
      </c>
    </row>
    <row r="253" spans="1:1" hidden="1">
      <c r="A253" t="s">
        <v>441</v>
      </c>
    </row>
    <row r="254" spans="1:1" hidden="1">
      <c r="A254" t="s">
        <v>442</v>
      </c>
    </row>
    <row r="255" spans="1:1" hidden="1">
      <c r="A255" t="s">
        <v>443</v>
      </c>
    </row>
    <row r="256" spans="1:1" hidden="1">
      <c r="A256" t="s">
        <v>444</v>
      </c>
    </row>
    <row r="257" spans="1:2" hidden="1">
      <c r="A257" t="s">
        <v>445</v>
      </c>
    </row>
    <row r="258" spans="1:2" hidden="1">
      <c r="A258" t="s">
        <v>446</v>
      </c>
    </row>
    <row r="259" spans="1:2" hidden="1">
      <c r="A259" t="s">
        <v>447</v>
      </c>
    </row>
    <row r="260" spans="1:2" hidden="1">
      <c r="A260" t="s">
        <v>448</v>
      </c>
    </row>
    <row r="261" spans="1:2">
      <c r="A261" t="s">
        <v>449</v>
      </c>
      <c r="B261" t="s">
        <v>568</v>
      </c>
    </row>
    <row r="262" spans="1:2">
      <c r="A262" t="s">
        <v>450</v>
      </c>
      <c r="B262" t="s">
        <v>568</v>
      </c>
    </row>
    <row r="263" spans="1:2" hidden="1">
      <c r="A263" t="s">
        <v>451</v>
      </c>
    </row>
    <row r="264" spans="1:2" hidden="1">
      <c r="A264" t="s">
        <v>202</v>
      </c>
    </row>
    <row r="265" spans="1:2" hidden="1">
      <c r="A265" t="s">
        <v>452</v>
      </c>
    </row>
    <row r="266" spans="1:2" hidden="1">
      <c r="A266" t="s">
        <v>207</v>
      </c>
    </row>
    <row r="267" spans="1:2" hidden="1">
      <c r="A267" t="s">
        <v>453</v>
      </c>
    </row>
    <row r="268" spans="1:2" hidden="1">
      <c r="A268" t="s">
        <v>274</v>
      </c>
    </row>
    <row r="269" spans="1:2" hidden="1">
      <c r="A269" t="s">
        <v>243</v>
      </c>
    </row>
    <row r="270" spans="1:2" hidden="1">
      <c r="A270" t="s">
        <v>454</v>
      </c>
    </row>
    <row r="271" spans="1:2" hidden="1">
      <c r="A271" t="s">
        <v>455</v>
      </c>
    </row>
    <row r="272" spans="1:2" hidden="1">
      <c r="A272" t="s">
        <v>112</v>
      </c>
    </row>
    <row r="273" spans="1:1" hidden="1">
      <c r="A273" t="s">
        <v>456</v>
      </c>
    </row>
    <row r="274" spans="1:1" hidden="1">
      <c r="A274" t="s">
        <v>457</v>
      </c>
    </row>
    <row r="275" spans="1:1" hidden="1">
      <c r="A275" t="s">
        <v>458</v>
      </c>
    </row>
    <row r="276" spans="1:1" hidden="1">
      <c r="A276" t="s">
        <v>117</v>
      </c>
    </row>
    <row r="277" spans="1:1" hidden="1">
      <c r="A277" t="s">
        <v>459</v>
      </c>
    </row>
    <row r="278" spans="1:1" hidden="1">
      <c r="A278" t="s">
        <v>265</v>
      </c>
    </row>
    <row r="279" spans="1:1" hidden="1">
      <c r="A279" t="s">
        <v>460</v>
      </c>
    </row>
    <row r="280" spans="1:1" hidden="1">
      <c r="A280" t="s">
        <v>462</v>
      </c>
    </row>
    <row r="281" spans="1:1" hidden="1">
      <c r="A281" t="s">
        <v>463</v>
      </c>
    </row>
    <row r="282" spans="1:1" hidden="1">
      <c r="A282" t="s">
        <v>464</v>
      </c>
    </row>
    <row r="283" spans="1:1" hidden="1">
      <c r="A283" t="s">
        <v>465</v>
      </c>
    </row>
    <row r="284" spans="1:1" hidden="1">
      <c r="A284" t="s">
        <v>466</v>
      </c>
    </row>
    <row r="285" spans="1:1" hidden="1">
      <c r="A285" t="s">
        <v>467</v>
      </c>
    </row>
    <row r="286" spans="1:1" hidden="1">
      <c r="A286" t="s">
        <v>468</v>
      </c>
    </row>
    <row r="287" spans="1:1" hidden="1">
      <c r="A287" t="s">
        <v>469</v>
      </c>
    </row>
    <row r="288" spans="1:1" hidden="1">
      <c r="A288" t="s">
        <v>470</v>
      </c>
    </row>
    <row r="289" spans="1:2" hidden="1">
      <c r="A289" t="s">
        <v>471</v>
      </c>
    </row>
    <row r="290" spans="1:2" hidden="1">
      <c r="A290" t="s">
        <v>472</v>
      </c>
    </row>
    <row r="291" spans="1:2" hidden="1">
      <c r="A291" t="s">
        <v>473</v>
      </c>
    </row>
    <row r="292" spans="1:2" hidden="1">
      <c r="A292" t="s">
        <v>474</v>
      </c>
    </row>
    <row r="293" spans="1:2" hidden="1">
      <c r="A293" t="s">
        <v>269</v>
      </c>
    </row>
    <row r="294" spans="1:2">
      <c r="A294" t="s">
        <v>475</v>
      </c>
      <c r="B294" t="s">
        <v>567</v>
      </c>
    </row>
    <row r="295" spans="1:2" hidden="1">
      <c r="A295" t="s">
        <v>263</v>
      </c>
    </row>
    <row r="296" spans="1:2" hidden="1">
      <c r="A296" t="s">
        <v>221</v>
      </c>
    </row>
    <row r="297" spans="1:2">
      <c r="A297" t="s">
        <v>476</v>
      </c>
      <c r="B297" t="s">
        <v>563</v>
      </c>
    </row>
    <row r="298" spans="1:2" hidden="1">
      <c r="A298" t="s">
        <v>477</v>
      </c>
    </row>
    <row r="299" spans="1:2" hidden="1">
      <c r="A299" t="s">
        <v>261</v>
      </c>
    </row>
    <row r="300" spans="1:2" hidden="1">
      <c r="A300" t="s">
        <v>478</v>
      </c>
    </row>
    <row r="301" spans="1:2" hidden="1">
      <c r="A301" t="s">
        <v>479</v>
      </c>
    </row>
    <row r="302" spans="1:2" hidden="1">
      <c r="A302" t="s">
        <v>480</v>
      </c>
    </row>
    <row r="303" spans="1:2" hidden="1">
      <c r="A303" t="s">
        <v>481</v>
      </c>
    </row>
    <row r="304" spans="1:2" hidden="1">
      <c r="A304" t="s">
        <v>482</v>
      </c>
    </row>
    <row r="305" spans="1:2" hidden="1">
      <c r="A305" t="s">
        <v>483</v>
      </c>
    </row>
    <row r="306" spans="1:2">
      <c r="A306" t="s">
        <v>484</v>
      </c>
      <c r="B306" t="s">
        <v>569</v>
      </c>
    </row>
    <row r="307" spans="1:2" hidden="1">
      <c r="A307" t="s">
        <v>485</v>
      </c>
    </row>
    <row r="308" spans="1:2" hidden="1">
      <c r="A308" t="s">
        <v>273</v>
      </c>
    </row>
    <row r="309" spans="1:2" hidden="1">
      <c r="A309" t="s">
        <v>486</v>
      </c>
    </row>
    <row r="310" spans="1:2" hidden="1">
      <c r="A310" t="s">
        <v>487</v>
      </c>
    </row>
    <row r="311" spans="1:2" hidden="1">
      <c r="A311" t="s">
        <v>252</v>
      </c>
    </row>
    <row r="312" spans="1:2" hidden="1">
      <c r="A312" t="s">
        <v>489</v>
      </c>
    </row>
    <row r="313" spans="1:2" hidden="1">
      <c r="A313" t="s">
        <v>490</v>
      </c>
    </row>
    <row r="314" spans="1:2" hidden="1">
      <c r="A314" t="s">
        <v>491</v>
      </c>
    </row>
    <row r="315" spans="1:2" hidden="1">
      <c r="A315" t="s">
        <v>492</v>
      </c>
    </row>
    <row r="316" spans="1:2" hidden="1">
      <c r="A316" t="s">
        <v>493</v>
      </c>
    </row>
    <row r="317" spans="1:2" hidden="1">
      <c r="A317" t="s">
        <v>494</v>
      </c>
    </row>
    <row r="318" spans="1:2" hidden="1">
      <c r="A318" t="s">
        <v>495</v>
      </c>
    </row>
    <row r="319" spans="1:2" hidden="1">
      <c r="A319" t="s">
        <v>496</v>
      </c>
    </row>
    <row r="320" spans="1:2" hidden="1">
      <c r="A320" t="s">
        <v>497</v>
      </c>
    </row>
    <row r="321" spans="1:2" hidden="1">
      <c r="A321" t="s">
        <v>498</v>
      </c>
    </row>
    <row r="322" spans="1:2" hidden="1">
      <c r="A322" t="s">
        <v>499</v>
      </c>
    </row>
    <row r="323" spans="1:2" hidden="1">
      <c r="A323" t="s">
        <v>500</v>
      </c>
    </row>
    <row r="324" spans="1:2">
      <c r="A324" t="s">
        <v>501</v>
      </c>
      <c r="B324" t="s">
        <v>565</v>
      </c>
    </row>
    <row r="325" spans="1:2">
      <c r="A325" t="s">
        <v>502</v>
      </c>
      <c r="B325" t="s">
        <v>565</v>
      </c>
    </row>
    <row r="326" spans="1:2" hidden="1">
      <c r="A326" t="s">
        <v>503</v>
      </c>
    </row>
    <row r="327" spans="1:2" hidden="1">
      <c r="A327" t="s">
        <v>504</v>
      </c>
    </row>
    <row r="328" spans="1:2" hidden="1">
      <c r="A328" t="s">
        <v>505</v>
      </c>
    </row>
    <row r="329" spans="1:2" hidden="1">
      <c r="A329" t="s">
        <v>506</v>
      </c>
    </row>
    <row r="330" spans="1:2" hidden="1">
      <c r="A330" t="s">
        <v>507</v>
      </c>
    </row>
    <row r="331" spans="1:2" hidden="1">
      <c r="A331" t="s">
        <v>508</v>
      </c>
    </row>
    <row r="332" spans="1:2" hidden="1">
      <c r="A332" t="s">
        <v>509</v>
      </c>
    </row>
    <row r="333" spans="1:2">
      <c r="A333" t="s">
        <v>510</v>
      </c>
      <c r="B333" t="s">
        <v>568</v>
      </c>
    </row>
    <row r="334" spans="1:2" hidden="1">
      <c r="A334" t="s">
        <v>511</v>
      </c>
    </row>
    <row r="335" spans="1:2" hidden="1">
      <c r="A335" t="s">
        <v>512</v>
      </c>
    </row>
    <row r="336" spans="1:2">
      <c r="A336" t="s">
        <v>513</v>
      </c>
      <c r="B336" t="s">
        <v>565</v>
      </c>
    </row>
    <row r="337" spans="1:2">
      <c r="A337" t="s">
        <v>514</v>
      </c>
      <c r="B337" t="s">
        <v>565</v>
      </c>
    </row>
    <row r="338" spans="1:2" hidden="1">
      <c r="A338" t="s">
        <v>515</v>
      </c>
    </row>
    <row r="339" spans="1:2" hidden="1">
      <c r="A339" t="s">
        <v>516</v>
      </c>
    </row>
    <row r="340" spans="1:2" hidden="1">
      <c r="A340" t="s">
        <v>517</v>
      </c>
    </row>
    <row r="341" spans="1:2" hidden="1">
      <c r="A341" t="s">
        <v>518</v>
      </c>
    </row>
    <row r="342" spans="1:2" hidden="1">
      <c r="A342" t="s">
        <v>519</v>
      </c>
    </row>
    <row r="343" spans="1:2" hidden="1">
      <c r="A343" t="s">
        <v>520</v>
      </c>
    </row>
    <row r="344" spans="1:2" hidden="1">
      <c r="A344" t="s">
        <v>521</v>
      </c>
    </row>
    <row r="345" spans="1:2" hidden="1">
      <c r="A345" t="s">
        <v>522</v>
      </c>
    </row>
    <row r="346" spans="1:2" hidden="1">
      <c r="A346" t="s">
        <v>523</v>
      </c>
    </row>
    <row r="347" spans="1:2" hidden="1">
      <c r="A347" t="s">
        <v>524</v>
      </c>
    </row>
    <row r="348" spans="1:2" hidden="1">
      <c r="A348" t="s">
        <v>525</v>
      </c>
    </row>
    <row r="349" spans="1:2" hidden="1">
      <c r="A349" t="s">
        <v>526</v>
      </c>
    </row>
    <row r="350" spans="1:2" hidden="1">
      <c r="A350" t="s">
        <v>527</v>
      </c>
    </row>
    <row r="351" spans="1:2" hidden="1">
      <c r="A351" t="s">
        <v>529</v>
      </c>
    </row>
    <row r="352" spans="1:2" hidden="1">
      <c r="A352" t="s">
        <v>530</v>
      </c>
    </row>
    <row r="353" spans="1:2" hidden="1">
      <c r="A353" t="s">
        <v>531</v>
      </c>
    </row>
    <row r="354" spans="1:2" hidden="1">
      <c r="A354" t="s">
        <v>532</v>
      </c>
    </row>
    <row r="355" spans="1:2" hidden="1">
      <c r="A355" t="s">
        <v>533</v>
      </c>
    </row>
    <row r="356" spans="1:2" hidden="1">
      <c r="A356" t="s">
        <v>534</v>
      </c>
    </row>
    <row r="357" spans="1:2">
      <c r="A357" t="s">
        <v>535</v>
      </c>
      <c r="B357" t="s">
        <v>568</v>
      </c>
    </row>
    <row r="358" spans="1:2" hidden="1">
      <c r="A358" t="s">
        <v>536</v>
      </c>
    </row>
    <row r="359" spans="1:2">
      <c r="A359" t="s">
        <v>538</v>
      </c>
      <c r="B359" t="s">
        <v>568</v>
      </c>
    </row>
    <row r="360" spans="1:2" hidden="1">
      <c r="A360" t="s">
        <v>539</v>
      </c>
    </row>
    <row r="361" spans="1:2" hidden="1">
      <c r="A361" t="s">
        <v>540</v>
      </c>
    </row>
    <row r="362" spans="1:2" hidden="1">
      <c r="A362" t="s">
        <v>541</v>
      </c>
    </row>
    <row r="363" spans="1:2" hidden="1">
      <c r="A363" t="s">
        <v>542</v>
      </c>
    </row>
    <row r="364" spans="1:2" hidden="1">
      <c r="A364" t="s">
        <v>543</v>
      </c>
    </row>
    <row r="365" spans="1:2" hidden="1">
      <c r="A365" t="s">
        <v>544</v>
      </c>
    </row>
    <row r="366" spans="1:2" hidden="1">
      <c r="A366" t="s">
        <v>545</v>
      </c>
    </row>
    <row r="367" spans="1:2" hidden="1">
      <c r="A367" t="s">
        <v>546</v>
      </c>
    </row>
    <row r="368" spans="1:2">
      <c r="A368" t="s">
        <v>547</v>
      </c>
      <c r="B368" t="s">
        <v>568</v>
      </c>
    </row>
    <row r="369" spans="1:1" hidden="1">
      <c r="A369" t="s">
        <v>548</v>
      </c>
    </row>
  </sheetData>
  <autoFilter ref="B1:B369" xr:uid="{46ED0224-E72E-4CB4-B292-6E10F7B6D85D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K35"/>
  <sheetViews>
    <sheetView workbookViewId="0">
      <selection activeCell="M11" sqref="M11"/>
    </sheetView>
  </sheetViews>
  <sheetFormatPr defaultColWidth="9" defaultRowHeight="14.5"/>
  <cols>
    <col min="1" max="1" width="5.36328125" style="18" customWidth="1"/>
    <col min="2" max="2" width="13.453125" style="18" customWidth="1"/>
    <col min="3" max="3" width="7.6328125" style="18" customWidth="1"/>
    <col min="4" max="4" width="8.81640625" style="18" customWidth="1"/>
    <col min="5" max="5" width="5.90625" style="18" customWidth="1"/>
    <col min="6" max="6" width="27.453125" style="18" customWidth="1"/>
    <col min="7" max="7" width="9.08984375" style="18" customWidth="1"/>
    <col min="8" max="8" width="7.1796875" style="18" customWidth="1"/>
    <col min="9" max="9" width="11.6328125" style="18" customWidth="1"/>
    <col min="10" max="10" width="10.6328125" style="18" customWidth="1"/>
    <col min="11" max="16384" width="9" style="18"/>
  </cols>
  <sheetData>
    <row r="1" spans="1:11" s="17" customFormat="1" ht="24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1" s="17" customFormat="1" ht="24" customHeight="1">
      <c r="A2" s="107"/>
      <c r="B2" s="107"/>
      <c r="C2" s="107"/>
      <c r="D2" s="107"/>
      <c r="E2" s="107"/>
      <c r="F2" s="107"/>
      <c r="G2" s="107"/>
      <c r="H2" s="107"/>
      <c r="I2" s="107"/>
      <c r="J2" s="107"/>
    </row>
    <row r="3" spans="1:11" ht="30" customHeight="1">
      <c r="A3" s="19" t="s">
        <v>549</v>
      </c>
      <c r="B3" s="20" t="s">
        <v>550</v>
      </c>
      <c r="C3" s="20" t="s">
        <v>551</v>
      </c>
      <c r="D3" s="20" t="s">
        <v>552</v>
      </c>
      <c r="E3" s="102"/>
      <c r="F3" s="20" t="s">
        <v>553</v>
      </c>
      <c r="G3" s="20" t="s">
        <v>551</v>
      </c>
      <c r="H3" s="104"/>
      <c r="I3" s="20" t="s">
        <v>554</v>
      </c>
      <c r="J3" s="29" t="s">
        <v>551</v>
      </c>
    </row>
    <row r="4" spans="1:11" ht="25" customHeight="1">
      <c r="A4" s="19" t="s">
        <v>555</v>
      </c>
      <c r="B4" s="20" t="s">
        <v>555</v>
      </c>
      <c r="C4" s="20">
        <f>SUM(C5:C34)</f>
        <v>368</v>
      </c>
      <c r="D4" s="20"/>
      <c r="E4" s="103"/>
      <c r="F4" s="20" t="s">
        <v>555</v>
      </c>
      <c r="G4" s="20">
        <f>SUM(G5:G34)</f>
        <v>368</v>
      </c>
      <c r="H4" s="105"/>
      <c r="I4" s="20" t="s">
        <v>555</v>
      </c>
      <c r="J4" s="20">
        <f>SUM(J5:J34)</f>
        <v>368</v>
      </c>
    </row>
    <row r="5" spans="1:11" ht="30" customHeight="1">
      <c r="A5" s="21">
        <v>1</v>
      </c>
      <c r="B5" s="22" t="s">
        <v>47</v>
      </c>
      <c r="C5" s="22">
        <f>COUNTIF(中文书目!G$2:G$1000,目录!B5)</f>
        <v>60</v>
      </c>
      <c r="D5" s="22" t="s">
        <v>140</v>
      </c>
      <c r="E5" s="23"/>
      <c r="F5" s="24" t="s">
        <v>49</v>
      </c>
      <c r="G5" s="22">
        <f>COUNTIF(中文书目!B$2:B$1000,目录!F5)</f>
        <v>27</v>
      </c>
      <c r="H5" s="25"/>
      <c r="I5" s="22">
        <v>2019</v>
      </c>
      <c r="J5" s="24">
        <f>COUNTIF(中文书目!C$2:C$1000,目录!I5)</f>
        <v>9</v>
      </c>
      <c r="K5" s="30"/>
    </row>
    <row r="6" spans="1:11" ht="30" customHeight="1">
      <c r="A6" s="21">
        <v>2</v>
      </c>
      <c r="B6" s="22" t="s">
        <v>57</v>
      </c>
      <c r="C6" s="22">
        <f>COUNTIF(中文书目!G$2:G$1000,目录!B6)</f>
        <v>47</v>
      </c>
      <c r="D6" s="22" t="s">
        <v>556</v>
      </c>
      <c r="E6" s="23"/>
      <c r="F6" s="24" t="s">
        <v>58</v>
      </c>
      <c r="G6" s="22">
        <f>COUNTIF(中文书目!B$2:B$1000,目录!F6)</f>
        <v>30</v>
      </c>
      <c r="H6" s="25"/>
      <c r="I6" s="22">
        <v>2020</v>
      </c>
      <c r="J6" s="24">
        <f>COUNTIF(中文书目!C$2:C$1000,目录!I6)</f>
        <v>95</v>
      </c>
      <c r="K6" s="30"/>
    </row>
    <row r="7" spans="1:11" ht="30" customHeight="1">
      <c r="A7" s="21">
        <v>3</v>
      </c>
      <c r="B7" s="22" t="s">
        <v>63</v>
      </c>
      <c r="C7" s="22">
        <f>COUNTIF(中文书目!G$2:G$1000,目录!B7)</f>
        <v>42</v>
      </c>
      <c r="D7" s="22" t="s">
        <v>140</v>
      </c>
      <c r="E7" s="23"/>
      <c r="F7" s="24" t="s">
        <v>64</v>
      </c>
      <c r="G7" s="22">
        <f>COUNTIF(中文书目!B$2:B$1000,目录!F7)</f>
        <v>7</v>
      </c>
      <c r="H7" s="25"/>
      <c r="I7" s="22">
        <v>2021</v>
      </c>
      <c r="J7" s="24">
        <f>COUNTIF(中文书目!C$2:C$1000,目录!I7)</f>
        <v>57</v>
      </c>
      <c r="K7" s="30"/>
    </row>
    <row r="8" spans="1:11" ht="30" customHeight="1">
      <c r="A8" s="21">
        <v>4</v>
      </c>
      <c r="B8" s="22" t="s">
        <v>72</v>
      </c>
      <c r="C8" s="22">
        <f>COUNTIF(中文书目!G$2:G$1000,目录!B8)</f>
        <v>27</v>
      </c>
      <c r="D8" s="22" t="s">
        <v>140</v>
      </c>
      <c r="E8" s="23"/>
      <c r="F8" s="24" t="s">
        <v>73</v>
      </c>
      <c r="G8" s="22">
        <f>COUNTIF(中文书目!B$2:B$1000,目录!F8)</f>
        <v>17</v>
      </c>
      <c r="H8" s="25"/>
      <c r="I8" s="22">
        <v>2022</v>
      </c>
      <c r="J8" s="24">
        <f>COUNTIF(中文书目!C$2:C$1000,目录!I8)</f>
        <v>41</v>
      </c>
      <c r="K8" s="30"/>
    </row>
    <row r="9" spans="1:11" ht="30" customHeight="1">
      <c r="A9" s="21">
        <v>5</v>
      </c>
      <c r="B9" s="22" t="s">
        <v>80</v>
      </c>
      <c r="C9" s="22">
        <f>COUNTIF(中文书目!G$2:G$1000,目录!B9)</f>
        <v>25</v>
      </c>
      <c r="D9" s="22" t="s">
        <v>140</v>
      </c>
      <c r="E9" s="23"/>
      <c r="F9" s="24" t="s">
        <v>82</v>
      </c>
      <c r="G9" s="22">
        <f>COUNTIF(中文书目!B$2:B$1000,目录!F9)</f>
        <v>19</v>
      </c>
      <c r="H9" s="25"/>
      <c r="I9" s="22">
        <v>2023</v>
      </c>
      <c r="J9" s="24">
        <f>COUNTIF(中文书目!C$2:C$1000,目录!I9)</f>
        <v>63</v>
      </c>
      <c r="K9" s="30"/>
    </row>
    <row r="10" spans="1:11" ht="30" customHeight="1">
      <c r="A10" s="21">
        <v>6</v>
      </c>
      <c r="B10" s="22" t="s">
        <v>80</v>
      </c>
      <c r="C10" s="22">
        <f>COUNTIF(中文书目!G$2:G$1000,目录!B10)</f>
        <v>25</v>
      </c>
      <c r="D10" s="22" t="s">
        <v>140</v>
      </c>
      <c r="E10" s="23"/>
      <c r="F10" s="24" t="s">
        <v>90</v>
      </c>
      <c r="G10" s="22">
        <f>COUNTIF(中文书目!B$2:B$1000,目录!F10)</f>
        <v>10</v>
      </c>
      <c r="H10" s="25"/>
      <c r="I10" s="22">
        <v>2024</v>
      </c>
      <c r="J10" s="24">
        <f>COUNTIF(中文书目!C$2:C$1000,目录!I10)</f>
        <v>29</v>
      </c>
      <c r="K10" s="30"/>
    </row>
    <row r="11" spans="1:11" ht="30" customHeight="1">
      <c r="A11" s="21">
        <v>7</v>
      </c>
      <c r="B11" s="22" t="s">
        <v>55</v>
      </c>
      <c r="C11" s="22">
        <f>COUNTIF(中文书目!G$2:G$1000,目录!B11)</f>
        <v>17</v>
      </c>
      <c r="D11" s="22" t="s">
        <v>557</v>
      </c>
      <c r="E11" s="23"/>
      <c r="F11" s="24" t="s">
        <v>45</v>
      </c>
      <c r="G11" s="22">
        <f>COUNTIF(中文书目!B$2:B$1000,目录!F11)</f>
        <v>18</v>
      </c>
      <c r="H11" s="25"/>
      <c r="I11" s="22">
        <v>2025</v>
      </c>
      <c r="J11" s="24">
        <f>COUNTIF(中文书目!C$2:C$1000,目录!I11)</f>
        <v>74</v>
      </c>
      <c r="K11" s="30"/>
    </row>
    <row r="12" spans="1:11" ht="30" customHeight="1">
      <c r="A12" s="21">
        <v>8</v>
      </c>
      <c r="B12" s="22" t="s">
        <v>102</v>
      </c>
      <c r="C12" s="22">
        <f>COUNTIF(中文书目!G$2:G$1000,目录!B12)</f>
        <v>10</v>
      </c>
      <c r="D12" s="22" t="s">
        <v>140</v>
      </c>
      <c r="E12" s="23"/>
      <c r="F12" s="24" t="s">
        <v>35</v>
      </c>
      <c r="G12" s="22">
        <f>COUNTIF(中文书目!B$2:B$1000,目录!F12)</f>
        <v>55</v>
      </c>
      <c r="H12" s="25"/>
      <c r="I12" s="24"/>
      <c r="J12" s="24"/>
      <c r="K12" s="30"/>
    </row>
    <row r="13" spans="1:11" ht="30" customHeight="1">
      <c r="A13" s="21">
        <v>9</v>
      </c>
      <c r="B13" s="22" t="s">
        <v>109</v>
      </c>
      <c r="C13" s="22">
        <f>COUNTIF(中文书目!G$2:G$1000,目录!B13)</f>
        <v>8</v>
      </c>
      <c r="D13" s="22" t="s">
        <v>140</v>
      </c>
      <c r="E13" s="23"/>
      <c r="F13" s="24" t="s">
        <v>110</v>
      </c>
      <c r="G13" s="22">
        <f>COUNTIF(中文书目!B$2:B$1000,目录!F13)</f>
        <v>31</v>
      </c>
      <c r="H13" s="25"/>
      <c r="I13" s="24"/>
      <c r="J13" s="24"/>
      <c r="K13" s="30"/>
    </row>
    <row r="14" spans="1:11" ht="30" customHeight="1">
      <c r="A14" s="21">
        <v>10</v>
      </c>
      <c r="B14" s="22" t="s">
        <v>115</v>
      </c>
      <c r="C14" s="22">
        <f>COUNTIF(中文书目!G$2:G$1000,目录!B14)</f>
        <v>7</v>
      </c>
      <c r="D14" s="22" t="s">
        <v>140</v>
      </c>
      <c r="E14" s="23"/>
      <c r="F14" s="24" t="s">
        <v>61</v>
      </c>
      <c r="G14" s="22">
        <f>COUNTIF(中文书目!B$2:B$1000,目录!F14)</f>
        <v>22</v>
      </c>
      <c r="H14" s="25"/>
      <c r="I14" s="24"/>
      <c r="J14" s="24"/>
      <c r="K14" s="30"/>
    </row>
    <row r="15" spans="1:11" ht="30" customHeight="1">
      <c r="A15" s="21">
        <v>11</v>
      </c>
      <c r="B15" s="22" t="s">
        <v>119</v>
      </c>
      <c r="C15" s="22">
        <f>COUNTIF(中文书目!G$2:G$1000,目录!B15)</f>
        <v>57</v>
      </c>
      <c r="D15" s="22" t="s">
        <v>556</v>
      </c>
      <c r="E15" s="23"/>
      <c r="F15" s="24" t="s">
        <v>77</v>
      </c>
      <c r="G15" s="22">
        <f>COUNTIF(中文书目!B$2:B$1000,目录!F15)</f>
        <v>25</v>
      </c>
      <c r="H15" s="25"/>
      <c r="I15" s="24"/>
      <c r="J15" s="24"/>
      <c r="K15" s="30"/>
    </row>
    <row r="16" spans="1:11" ht="30" customHeight="1">
      <c r="A16" s="21">
        <v>12</v>
      </c>
      <c r="B16" s="22" t="s">
        <v>123</v>
      </c>
      <c r="C16" s="22">
        <f>COUNTIF(中文书目!G$2:G$1000,目录!B16)</f>
        <v>5</v>
      </c>
      <c r="D16" s="22" t="s">
        <v>557</v>
      </c>
      <c r="E16" s="23"/>
      <c r="F16" s="24" t="s">
        <v>124</v>
      </c>
      <c r="G16" s="22">
        <f>COUNTIF(中文书目!B$2:B$1000,目录!F16)</f>
        <v>11</v>
      </c>
      <c r="H16" s="25"/>
      <c r="I16" s="24"/>
      <c r="J16" s="24"/>
      <c r="K16" s="30"/>
    </row>
    <row r="17" spans="1:11" ht="30" customHeight="1">
      <c r="A17" s="21">
        <v>13</v>
      </c>
      <c r="B17" s="22" t="s">
        <v>79</v>
      </c>
      <c r="C17" s="22">
        <f>COUNTIF(中文书目!G$2:G$1000,目录!B17)</f>
        <v>5</v>
      </c>
      <c r="D17" s="22" t="s">
        <v>140</v>
      </c>
      <c r="E17" s="23"/>
      <c r="F17" s="24" t="s">
        <v>130</v>
      </c>
      <c r="G17" s="22">
        <f>COUNTIF(中文书目!B$2:B$1000,目录!F17)</f>
        <v>11</v>
      </c>
      <c r="H17" s="25"/>
      <c r="I17" s="24"/>
      <c r="J17" s="24"/>
      <c r="K17" s="30"/>
    </row>
    <row r="18" spans="1:11" ht="30" customHeight="1">
      <c r="A18" s="21">
        <v>14</v>
      </c>
      <c r="B18" s="22" t="s">
        <v>134</v>
      </c>
      <c r="C18" s="22">
        <f>COUNTIF(中文书目!G$2:G$1000,目录!B18)</f>
        <v>4</v>
      </c>
      <c r="D18" s="22" t="s">
        <v>140</v>
      </c>
      <c r="E18" s="23"/>
      <c r="F18" s="24" t="s">
        <v>135</v>
      </c>
      <c r="G18" s="22">
        <f>COUNTIF(中文书目!B$2:B$1000,目录!F18)</f>
        <v>18</v>
      </c>
      <c r="H18" s="25"/>
      <c r="I18" s="24"/>
      <c r="J18" s="24"/>
      <c r="K18" s="30"/>
    </row>
    <row r="19" spans="1:11" ht="30" customHeight="1">
      <c r="A19" s="21">
        <v>15</v>
      </c>
      <c r="B19" s="22" t="s">
        <v>96</v>
      </c>
      <c r="C19" s="22">
        <f>COUNTIF(中文书目!G$2:G$1000,目录!B19)</f>
        <v>5</v>
      </c>
      <c r="D19" s="22" t="s">
        <v>107</v>
      </c>
      <c r="E19" s="23"/>
      <c r="F19" s="24" t="s">
        <v>141</v>
      </c>
      <c r="G19" s="22">
        <f>COUNTIF(中文书目!B$2:B$1000,目录!F19)</f>
        <v>8</v>
      </c>
      <c r="H19" s="25"/>
      <c r="I19" s="24"/>
      <c r="J19" s="24"/>
      <c r="K19" s="30"/>
    </row>
    <row r="20" spans="1:11" ht="30" customHeight="1">
      <c r="A20" s="21">
        <v>16</v>
      </c>
      <c r="B20" s="22" t="s">
        <v>145</v>
      </c>
      <c r="C20" s="22">
        <f>COUNTIF(中文书目!G$2:G$1000,目录!B20)</f>
        <v>2</v>
      </c>
      <c r="D20" s="22" t="s">
        <v>140</v>
      </c>
      <c r="E20" s="23"/>
      <c r="F20" s="24" t="s">
        <v>94</v>
      </c>
      <c r="G20" s="22">
        <f>COUNTIF(中文书目!B$2:B$1000,目录!F20)</f>
        <v>2</v>
      </c>
      <c r="H20" s="25"/>
      <c r="I20" s="24"/>
      <c r="J20" s="24"/>
      <c r="K20" s="30"/>
    </row>
    <row r="21" spans="1:11" ht="30" customHeight="1">
      <c r="A21" s="21">
        <v>17</v>
      </c>
      <c r="B21" s="22" t="s">
        <v>148</v>
      </c>
      <c r="C21" s="22">
        <f>COUNTIF(中文书目!G$2:G$1000,目录!B21)</f>
        <v>2</v>
      </c>
      <c r="D21" s="22" t="s">
        <v>556</v>
      </c>
      <c r="E21" s="23"/>
      <c r="F21" s="24" t="s">
        <v>105</v>
      </c>
      <c r="G21" s="22">
        <f>COUNTIF(中文书目!B$2:B$1000,目录!F21)</f>
        <v>13</v>
      </c>
      <c r="H21" s="25"/>
      <c r="I21" s="24"/>
      <c r="J21" s="24"/>
      <c r="K21" s="30"/>
    </row>
    <row r="22" spans="1:11" ht="30" customHeight="1">
      <c r="A22" s="21">
        <v>18</v>
      </c>
      <c r="B22" s="22" t="s">
        <v>38</v>
      </c>
      <c r="C22" s="22">
        <f>COUNTIF(中文书目!G$2:G$1000,目录!B22)</f>
        <v>2</v>
      </c>
      <c r="D22" s="22" t="s">
        <v>140</v>
      </c>
      <c r="E22" s="23"/>
      <c r="F22" s="24" t="s">
        <v>151</v>
      </c>
      <c r="G22" s="22">
        <f>COUNTIF(中文书目!B$2:B$1000,目录!F22)</f>
        <v>15</v>
      </c>
      <c r="H22" s="25"/>
      <c r="I22" s="24"/>
      <c r="J22" s="24"/>
      <c r="K22" s="30"/>
    </row>
    <row r="23" spans="1:11" ht="30" customHeight="1">
      <c r="A23" s="21">
        <v>19</v>
      </c>
      <c r="B23" s="22" t="s">
        <v>154</v>
      </c>
      <c r="C23" s="22">
        <f>COUNTIF(中文书目!G$2:G$1000,目录!B23)</f>
        <v>2</v>
      </c>
      <c r="D23" s="22" t="s">
        <v>140</v>
      </c>
      <c r="E23" s="23"/>
      <c r="F23" s="24" t="s">
        <v>138</v>
      </c>
      <c r="G23" s="22">
        <f>COUNTIF(中文书目!B$2:B$1000,目录!F23)</f>
        <v>1</v>
      </c>
      <c r="H23" s="25"/>
      <c r="I23" s="24"/>
      <c r="J23" s="24"/>
      <c r="K23" s="30"/>
    </row>
    <row r="24" spans="1:11" ht="30" customHeight="1">
      <c r="A24" s="21">
        <v>20</v>
      </c>
      <c r="B24" s="22" t="s">
        <v>157</v>
      </c>
      <c r="C24" s="22">
        <f>COUNTIF(中文书目!G$2:G$1000,目录!B24)</f>
        <v>2</v>
      </c>
      <c r="D24" s="22" t="s">
        <v>140</v>
      </c>
      <c r="E24" s="23"/>
      <c r="F24" s="24" t="s">
        <v>158</v>
      </c>
      <c r="G24" s="22">
        <f>COUNTIF(中文书目!B$2:B$1000,目录!F24)</f>
        <v>1</v>
      </c>
      <c r="H24" s="25"/>
      <c r="I24" s="24"/>
      <c r="J24" s="24"/>
      <c r="K24" s="30"/>
    </row>
    <row r="25" spans="1:11" ht="30" customHeight="1">
      <c r="A25" s="21">
        <v>21</v>
      </c>
      <c r="B25" s="22" t="s">
        <v>160</v>
      </c>
      <c r="C25" s="22">
        <f>COUNTIF(中文书目!G$2:G$1000,目录!B25)</f>
        <v>3</v>
      </c>
      <c r="D25" s="22" t="s">
        <v>556</v>
      </c>
      <c r="E25" s="23"/>
      <c r="F25" s="24" t="s">
        <v>161</v>
      </c>
      <c r="G25" s="22">
        <f>COUNTIF(中文书目!B$2:B$1000,目录!F25)</f>
        <v>13</v>
      </c>
      <c r="H25" s="25"/>
      <c r="I25" s="24"/>
      <c r="J25" s="24"/>
      <c r="K25" s="30"/>
    </row>
    <row r="26" spans="1:11" ht="30" customHeight="1">
      <c r="A26" s="21">
        <v>22</v>
      </c>
      <c r="B26" s="22" t="s">
        <v>163</v>
      </c>
      <c r="C26" s="22">
        <f>COUNTIF(中文书目!G$2:G$1000,目录!B26)</f>
        <v>1</v>
      </c>
      <c r="D26" s="22" t="s">
        <v>140</v>
      </c>
      <c r="E26" s="23"/>
      <c r="F26" s="24" t="s">
        <v>164</v>
      </c>
      <c r="G26" s="22">
        <f>COUNTIF(中文书目!B$2:B$1000,目录!F26)</f>
        <v>3</v>
      </c>
      <c r="H26" s="25"/>
      <c r="I26" s="24"/>
      <c r="J26" s="24"/>
      <c r="K26" s="30"/>
    </row>
    <row r="27" spans="1:11" ht="30" customHeight="1">
      <c r="A27" s="21">
        <v>23</v>
      </c>
      <c r="B27" s="22" t="s">
        <v>128</v>
      </c>
      <c r="C27" s="22">
        <f>COUNTIF(中文书目!G$2:G$1000,目录!B27)</f>
        <v>1</v>
      </c>
      <c r="D27" s="22" t="s">
        <v>140</v>
      </c>
      <c r="E27" s="23"/>
      <c r="F27" s="24" t="s">
        <v>170</v>
      </c>
      <c r="G27" s="22">
        <f>COUNTIF(中文书目!B$2:B$1000,目录!F27)</f>
        <v>11</v>
      </c>
      <c r="H27" s="25"/>
      <c r="I27" s="24"/>
      <c r="J27" s="24"/>
      <c r="K27" s="30"/>
    </row>
    <row r="28" spans="1:11" ht="30" customHeight="1">
      <c r="A28" s="21">
        <v>24</v>
      </c>
      <c r="B28" s="22" t="s">
        <v>69</v>
      </c>
      <c r="C28" s="22">
        <f>COUNTIF(中文书目!G$2:G$1000,目录!B28)</f>
        <v>1</v>
      </c>
      <c r="D28" s="22" t="s">
        <v>140</v>
      </c>
      <c r="E28" s="23"/>
      <c r="F28" s="24" t="s">
        <v>143</v>
      </c>
      <c r="G28" s="22" cm="1">
        <f t="array" ref="G28">COUNTIF(中文书目!K$2:K$1000,暂停)</f>
        <v>0</v>
      </c>
      <c r="H28" s="25"/>
      <c r="I28" s="24"/>
      <c r="J28" s="24"/>
      <c r="K28" s="30"/>
    </row>
    <row r="29" spans="1:11" ht="30" customHeight="1">
      <c r="A29" s="21">
        <v>25</v>
      </c>
      <c r="B29" s="22" t="s">
        <v>86</v>
      </c>
      <c r="C29" s="22">
        <f>COUNTIF(中文书目!G$2:G$1000,目录!B29)</f>
        <v>1</v>
      </c>
      <c r="D29" s="22" t="s">
        <v>140</v>
      </c>
      <c r="E29" s="23"/>
      <c r="F29" s="24"/>
      <c r="G29" s="24"/>
      <c r="H29" s="25"/>
      <c r="I29" s="24"/>
      <c r="J29" s="24"/>
      <c r="K29" s="30"/>
    </row>
    <row r="30" spans="1:11" ht="30" customHeight="1">
      <c r="A30" s="21">
        <v>26</v>
      </c>
      <c r="B30" s="22" t="s">
        <v>179</v>
      </c>
      <c r="C30" s="22">
        <f>COUNTIF(中文书目!G$2:G$1000,目录!B30)</f>
        <v>0</v>
      </c>
      <c r="D30" s="22" t="s">
        <v>140</v>
      </c>
      <c r="E30" s="23"/>
      <c r="F30" s="24"/>
      <c r="G30" s="24"/>
      <c r="H30" s="25"/>
      <c r="I30" s="24"/>
      <c r="J30" s="24"/>
      <c r="K30" s="30"/>
    </row>
    <row r="31" spans="1:11" ht="30" customHeight="1">
      <c r="A31" s="21">
        <v>27</v>
      </c>
      <c r="B31" s="22" t="s">
        <v>156</v>
      </c>
      <c r="C31" s="22">
        <f>COUNTIF(中文书目!G$2:G$1000,目录!B31)</f>
        <v>1</v>
      </c>
      <c r="D31" s="22" t="s">
        <v>140</v>
      </c>
      <c r="E31" s="23"/>
      <c r="F31" s="24"/>
      <c r="G31" s="24"/>
      <c r="H31" s="25"/>
      <c r="I31" s="24"/>
      <c r="J31" s="24"/>
    </row>
    <row r="32" spans="1:11" ht="30" customHeight="1">
      <c r="A32" s="21">
        <v>28</v>
      </c>
      <c r="B32" s="22" t="s">
        <v>186</v>
      </c>
      <c r="C32" s="22">
        <f>COUNTIF(中文书目!G$2:G$1000,目录!B32)</f>
        <v>1</v>
      </c>
      <c r="D32" s="22" t="s">
        <v>140</v>
      </c>
      <c r="E32" s="23"/>
      <c r="F32" s="24"/>
      <c r="G32" s="24"/>
      <c r="H32" s="25"/>
      <c r="I32" s="24"/>
      <c r="J32" s="24"/>
    </row>
    <row r="33" spans="1:10" ht="30" customHeight="1">
      <c r="A33" s="21">
        <v>29</v>
      </c>
      <c r="B33" s="22" t="s">
        <v>189</v>
      </c>
      <c r="C33" s="22">
        <f>COUNTIF(中文书目!G$2:G$1000,目录!B33)</f>
        <v>1</v>
      </c>
      <c r="D33" s="22" t="s">
        <v>140</v>
      </c>
      <c r="E33" s="23"/>
      <c r="F33" s="24"/>
      <c r="G33" s="24"/>
      <c r="H33" s="25"/>
      <c r="I33" s="24"/>
      <c r="J33" s="24"/>
    </row>
    <row r="34" spans="1:10" ht="30" customHeight="1">
      <c r="A34" s="21">
        <v>30</v>
      </c>
      <c r="B34" s="22" t="s">
        <v>193</v>
      </c>
      <c r="C34" s="22">
        <f>COUNTIF(中文书目!G$2:G$1000,目录!B34)</f>
        <v>4</v>
      </c>
      <c r="D34" s="22" t="s">
        <v>556</v>
      </c>
      <c r="E34" s="26"/>
      <c r="F34" s="24"/>
      <c r="G34" s="24"/>
      <c r="H34" s="27"/>
      <c r="I34" s="24"/>
      <c r="J34" s="24"/>
    </row>
    <row r="35" spans="1:10">
      <c r="E35" s="28"/>
      <c r="F35" s="28"/>
      <c r="G35" s="28"/>
      <c r="H35" s="28"/>
      <c r="I35" s="28"/>
      <c r="J35" s="28"/>
    </row>
  </sheetData>
  <autoFilter ref="B3:J34" xr:uid="{00000000-0009-0000-0000-000002000000}"/>
  <mergeCells count="3">
    <mergeCell ref="E3:E4"/>
    <mergeCell ref="H3:H4"/>
    <mergeCell ref="A1:J2"/>
  </mergeCells>
  <conditionalFormatting sqref="D5:D34">
    <cfRule type="cellIs" dxfId="7" priority="1" operator="equal">
      <formula>"退转"</formula>
    </cfRule>
    <cfRule type="cellIs" dxfId="6" priority="2" operator="equal">
      <formula>"工作中"</formula>
    </cfRule>
    <cfRule type="cellIs" dxfId="5" priority="3" operator="equal">
      <formula>"暂停"</formula>
    </cfRule>
    <cfRule type="cellIs" dxfId="4" priority="4" operator="equal">
      <formula>"暂停"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29"/>
  <sheetViews>
    <sheetView workbookViewId="0">
      <selection activeCell="D10" sqref="D10"/>
    </sheetView>
  </sheetViews>
  <sheetFormatPr defaultColWidth="9" defaultRowHeight="14.5"/>
  <cols>
    <col min="1" max="1" width="5.90625" style="3" customWidth="1"/>
    <col min="2" max="2" width="24.81640625" style="6" customWidth="1"/>
    <col min="3" max="3" width="9.08984375" style="8" customWidth="1"/>
    <col min="4" max="4" width="9.1796875" style="8" customWidth="1"/>
    <col min="5" max="5" width="21.81640625" style="8" customWidth="1"/>
    <col min="6" max="7" width="9.54296875" style="8" customWidth="1"/>
  </cols>
  <sheetData>
    <row r="1" spans="1:7" ht="30" customHeight="1">
      <c r="A1" s="11" t="s">
        <v>13</v>
      </c>
      <c r="B1" s="11" t="s">
        <v>558</v>
      </c>
      <c r="C1" s="11" t="s">
        <v>19</v>
      </c>
      <c r="D1" s="11" t="s">
        <v>20</v>
      </c>
      <c r="E1" s="11" t="s">
        <v>559</v>
      </c>
      <c r="F1" s="11" t="s">
        <v>19</v>
      </c>
      <c r="G1" s="11" t="s">
        <v>20</v>
      </c>
    </row>
    <row r="2" spans="1:7" ht="30" customHeight="1">
      <c r="A2" s="12">
        <v>1</v>
      </c>
      <c r="B2" s="12" t="s">
        <v>36</v>
      </c>
      <c r="C2" s="12">
        <v>2</v>
      </c>
      <c r="D2" s="12">
        <v>2</v>
      </c>
      <c r="E2" s="12"/>
      <c r="F2" s="12"/>
      <c r="G2" s="12"/>
    </row>
    <row r="3" spans="1:7" ht="30" customHeight="1">
      <c r="A3" s="13">
        <v>2</v>
      </c>
      <c r="B3" s="13" t="s">
        <v>46</v>
      </c>
      <c r="C3" s="13">
        <v>5</v>
      </c>
      <c r="D3" s="13">
        <v>5</v>
      </c>
      <c r="E3" s="13"/>
      <c r="F3" s="13"/>
      <c r="G3" s="13"/>
    </row>
    <row r="4" spans="1:7" ht="30" customHeight="1">
      <c r="A4" s="12">
        <v>3</v>
      </c>
      <c r="B4" s="12" t="s">
        <v>53</v>
      </c>
      <c r="C4" s="12">
        <v>19</v>
      </c>
      <c r="D4" s="12">
        <v>19</v>
      </c>
      <c r="E4" s="12"/>
      <c r="F4" s="12"/>
      <c r="G4" s="12"/>
    </row>
    <row r="5" spans="1:7" ht="30" customHeight="1">
      <c r="A5" s="13">
        <v>4</v>
      </c>
      <c r="B5" s="14" t="s">
        <v>62</v>
      </c>
      <c r="C5" s="14">
        <v>27</v>
      </c>
      <c r="D5" s="14">
        <v>27</v>
      </c>
      <c r="E5" s="14"/>
      <c r="F5" s="14"/>
      <c r="G5" s="14"/>
    </row>
    <row r="6" spans="1:7" ht="30" customHeight="1">
      <c r="A6" s="12">
        <v>5</v>
      </c>
      <c r="B6" s="12" t="s">
        <v>68</v>
      </c>
      <c r="C6" s="12">
        <v>5</v>
      </c>
      <c r="D6" s="12">
        <v>5</v>
      </c>
      <c r="E6" s="12"/>
      <c r="F6" s="12"/>
      <c r="G6" s="12"/>
    </row>
    <row r="7" spans="1:7" ht="30" customHeight="1">
      <c r="A7" s="13">
        <v>6</v>
      </c>
      <c r="B7" s="11" t="s">
        <v>78</v>
      </c>
      <c r="C7" s="11">
        <v>19</v>
      </c>
      <c r="D7" s="11">
        <v>19</v>
      </c>
      <c r="E7" s="11"/>
      <c r="F7" s="11"/>
      <c r="G7" s="11"/>
    </row>
    <row r="8" spans="1:7" ht="30" customHeight="1">
      <c r="A8" s="12">
        <v>7</v>
      </c>
      <c r="B8" s="12" t="s">
        <v>85</v>
      </c>
      <c r="C8" s="12">
        <v>8</v>
      </c>
      <c r="D8" s="12">
        <v>8</v>
      </c>
      <c r="E8" s="12"/>
      <c r="F8" s="12"/>
      <c r="G8" s="12"/>
    </row>
    <row r="9" spans="1:7" ht="30" customHeight="1">
      <c r="A9" s="13">
        <v>8</v>
      </c>
      <c r="B9" s="13" t="s">
        <v>95</v>
      </c>
      <c r="C9" s="13">
        <v>145</v>
      </c>
      <c r="D9" s="13">
        <v>145</v>
      </c>
      <c r="E9" s="13"/>
      <c r="F9" s="13"/>
      <c r="G9" s="13"/>
    </row>
    <row r="10" spans="1:7" ht="30" customHeight="1">
      <c r="A10" s="12">
        <v>9</v>
      </c>
      <c r="B10" s="12" t="s">
        <v>101</v>
      </c>
      <c r="C10" s="12">
        <v>16</v>
      </c>
      <c r="D10" s="12">
        <v>16</v>
      </c>
      <c r="E10" s="12"/>
      <c r="F10" s="12"/>
      <c r="G10" s="12"/>
    </row>
    <row r="11" spans="1:7" ht="30" customHeight="1">
      <c r="A11" s="13">
        <v>10</v>
      </c>
      <c r="B11" s="14" t="s">
        <v>106</v>
      </c>
      <c r="C11" s="14">
        <v>19</v>
      </c>
      <c r="D11" s="14">
        <v>19</v>
      </c>
      <c r="E11" s="14"/>
      <c r="F11" s="14"/>
      <c r="G11" s="14"/>
    </row>
    <row r="12" spans="1:7" ht="30" customHeight="1">
      <c r="A12" s="12">
        <v>11</v>
      </c>
      <c r="B12" s="12" t="s">
        <v>114</v>
      </c>
      <c r="C12" s="12">
        <v>16</v>
      </c>
      <c r="D12" s="12">
        <v>16</v>
      </c>
      <c r="E12" s="12"/>
      <c r="F12" s="12"/>
      <c r="G12" s="12"/>
    </row>
    <row r="13" spans="1:7" ht="30" customHeight="1">
      <c r="A13" s="13">
        <v>12</v>
      </c>
      <c r="B13" s="11" t="s">
        <v>118</v>
      </c>
      <c r="C13" s="11">
        <v>19</v>
      </c>
      <c r="D13" s="11">
        <v>19</v>
      </c>
      <c r="E13" s="11"/>
      <c r="F13" s="11"/>
      <c r="G13" s="11"/>
    </row>
    <row r="14" spans="1:7" ht="30" customHeight="1">
      <c r="A14" s="12">
        <v>13</v>
      </c>
      <c r="B14" s="12" t="s">
        <v>122</v>
      </c>
      <c r="C14" s="12">
        <v>8</v>
      </c>
      <c r="D14" s="12">
        <v>8</v>
      </c>
      <c r="E14" s="12"/>
      <c r="F14" s="12"/>
      <c r="G14" s="12"/>
    </row>
    <row r="15" spans="1:7" ht="30" customHeight="1">
      <c r="A15" s="13">
        <v>14</v>
      </c>
      <c r="B15" s="13" t="s">
        <v>127</v>
      </c>
      <c r="C15" s="13" t="s">
        <v>129</v>
      </c>
      <c r="D15" s="13">
        <v>19</v>
      </c>
      <c r="E15" s="13"/>
      <c r="F15" s="13"/>
      <c r="G15" s="13"/>
    </row>
    <row r="16" spans="1:7" ht="30" customHeight="1">
      <c r="A16" s="12">
        <v>15</v>
      </c>
      <c r="B16" s="12" t="s">
        <v>133</v>
      </c>
      <c r="C16" s="12">
        <v>4</v>
      </c>
      <c r="D16" s="12">
        <v>4</v>
      </c>
      <c r="E16" s="12"/>
      <c r="F16" s="12"/>
      <c r="G16" s="12"/>
    </row>
    <row r="17" spans="1:7" ht="30" customHeight="1">
      <c r="A17" s="13">
        <v>16</v>
      </c>
      <c r="B17" s="14" t="s">
        <v>139</v>
      </c>
      <c r="C17" s="14">
        <v>1</v>
      </c>
      <c r="D17" s="14">
        <v>1</v>
      </c>
      <c r="E17" s="14"/>
      <c r="F17" s="14"/>
      <c r="G17" s="14"/>
    </row>
    <row r="18" spans="1:7" ht="30" customHeight="1">
      <c r="A18" s="12">
        <v>17</v>
      </c>
      <c r="B18" s="12" t="s">
        <v>144</v>
      </c>
      <c r="C18" s="12">
        <v>27</v>
      </c>
      <c r="D18" s="12">
        <v>27</v>
      </c>
      <c r="E18" s="12"/>
      <c r="F18" s="12"/>
      <c r="G18" s="12"/>
    </row>
    <row r="19" spans="1:7" ht="30" customHeight="1">
      <c r="A19" s="13">
        <v>18</v>
      </c>
      <c r="B19" s="11" t="s">
        <v>147</v>
      </c>
      <c r="C19" s="11">
        <v>10</v>
      </c>
      <c r="D19" s="11">
        <v>10</v>
      </c>
      <c r="E19" s="11"/>
      <c r="F19" s="11"/>
      <c r="G19" s="11"/>
    </row>
    <row r="20" spans="1:7" ht="30" customHeight="1">
      <c r="A20" s="12">
        <v>19</v>
      </c>
      <c r="B20" s="12" t="s">
        <v>150</v>
      </c>
      <c r="C20" s="12">
        <v>10</v>
      </c>
      <c r="D20" s="12">
        <v>10</v>
      </c>
      <c r="E20" s="12"/>
      <c r="F20" s="12"/>
      <c r="G20" s="12"/>
    </row>
    <row r="21" spans="1:7" ht="30" customHeight="1">
      <c r="A21" s="13">
        <v>20</v>
      </c>
      <c r="B21" s="13" t="s">
        <v>153</v>
      </c>
      <c r="C21" s="13">
        <f>12+8+5+2+8</f>
        <v>35</v>
      </c>
      <c r="D21" s="13">
        <f>12+8+5+2</f>
        <v>27</v>
      </c>
      <c r="E21" s="13"/>
      <c r="F21" s="13"/>
      <c r="G21" s="13"/>
    </row>
    <row r="22" spans="1:7" ht="30" customHeight="1">
      <c r="A22" s="12">
        <v>21</v>
      </c>
      <c r="B22" s="12" t="s">
        <v>155</v>
      </c>
      <c r="C22" s="12">
        <v>24</v>
      </c>
      <c r="D22" s="12">
        <v>24</v>
      </c>
      <c r="E22" s="12"/>
      <c r="F22" s="12"/>
      <c r="G22" s="12"/>
    </row>
    <row r="23" spans="1:7" ht="30" customHeight="1">
      <c r="A23" s="13">
        <v>22</v>
      </c>
      <c r="B23" s="14" t="s">
        <v>159</v>
      </c>
      <c r="C23" s="14">
        <v>20</v>
      </c>
      <c r="D23" s="14">
        <v>20</v>
      </c>
      <c r="E23" s="14"/>
      <c r="F23" s="14"/>
      <c r="G23" s="14"/>
    </row>
    <row r="24" spans="1:7" ht="30" customHeight="1">
      <c r="A24" s="12">
        <v>23</v>
      </c>
      <c r="B24" s="12" t="s">
        <v>162</v>
      </c>
      <c r="C24" s="12">
        <v>10</v>
      </c>
      <c r="D24" s="12">
        <v>10</v>
      </c>
      <c r="E24" s="12"/>
      <c r="F24" s="12"/>
      <c r="G24" s="12"/>
    </row>
    <row r="25" spans="1:7" ht="30" customHeight="1">
      <c r="A25" s="13">
        <v>24</v>
      </c>
      <c r="B25" s="11" t="s">
        <v>169</v>
      </c>
      <c r="C25" s="11">
        <v>9</v>
      </c>
      <c r="D25" s="11">
        <v>9</v>
      </c>
      <c r="E25" s="11"/>
      <c r="F25" s="11"/>
      <c r="G25" s="11"/>
    </row>
    <row r="26" spans="1:7" ht="30" customHeight="1">
      <c r="A26" s="12">
        <v>25</v>
      </c>
      <c r="B26" s="12" t="s">
        <v>174</v>
      </c>
      <c r="C26" s="12">
        <v>4</v>
      </c>
      <c r="D26" s="12">
        <v>4</v>
      </c>
      <c r="E26" s="12"/>
      <c r="F26" s="12"/>
      <c r="G26" s="12"/>
    </row>
    <row r="27" spans="1:7" ht="30" customHeight="1">
      <c r="A27" s="13">
        <v>26</v>
      </c>
      <c r="B27" s="13" t="s">
        <v>171</v>
      </c>
      <c r="C27" s="13">
        <v>14</v>
      </c>
      <c r="D27" s="13">
        <v>13</v>
      </c>
      <c r="E27" s="13"/>
      <c r="F27" s="13"/>
      <c r="G27" s="13"/>
    </row>
    <row r="28" spans="1:7" ht="30" customHeight="1">
      <c r="A28" s="12">
        <v>27</v>
      </c>
      <c r="B28" s="12" t="s">
        <v>178</v>
      </c>
      <c r="C28" s="12">
        <v>10</v>
      </c>
      <c r="D28" s="12">
        <v>10</v>
      </c>
      <c r="E28" s="12"/>
      <c r="F28" s="12"/>
      <c r="G28" s="12"/>
    </row>
    <row r="29" spans="1:7" ht="30" customHeight="1">
      <c r="A29" s="13">
        <v>28</v>
      </c>
      <c r="B29" s="14" t="s">
        <v>182</v>
      </c>
      <c r="C29" s="14">
        <v>11</v>
      </c>
      <c r="D29" s="14">
        <v>11</v>
      </c>
      <c r="E29" s="14"/>
      <c r="F29" s="14"/>
      <c r="G29" s="14"/>
    </row>
    <row r="30" spans="1:7" ht="30" customHeight="1">
      <c r="A30" s="12">
        <v>29</v>
      </c>
      <c r="B30" s="12" t="s">
        <v>185</v>
      </c>
      <c r="C30" s="12">
        <v>2</v>
      </c>
      <c r="D30" s="12">
        <v>2</v>
      </c>
      <c r="E30" s="12"/>
      <c r="F30" s="12"/>
      <c r="G30" s="12"/>
    </row>
    <row r="31" spans="1:7" ht="30" customHeight="1">
      <c r="A31" s="13">
        <v>30</v>
      </c>
      <c r="B31" s="11" t="s">
        <v>188</v>
      </c>
      <c r="C31" s="11">
        <v>16</v>
      </c>
      <c r="D31" s="11">
        <v>16</v>
      </c>
      <c r="E31" s="11"/>
      <c r="F31" s="11"/>
      <c r="G31" s="11"/>
    </row>
    <row r="32" spans="1:7" ht="30" customHeight="1">
      <c r="A32" s="12">
        <v>31</v>
      </c>
      <c r="B32" s="12" t="s">
        <v>192</v>
      </c>
      <c r="C32" s="12">
        <v>12</v>
      </c>
      <c r="D32" s="12">
        <v>12</v>
      </c>
      <c r="E32" s="12"/>
      <c r="F32" s="12"/>
      <c r="G32" s="12"/>
    </row>
    <row r="33" spans="1:7" ht="30" customHeight="1">
      <c r="A33" s="13">
        <v>32</v>
      </c>
      <c r="B33" s="13" t="s">
        <v>195</v>
      </c>
      <c r="C33" s="13">
        <v>5</v>
      </c>
      <c r="D33" s="13">
        <v>5</v>
      </c>
      <c r="E33" s="13"/>
      <c r="F33" s="13"/>
      <c r="G33" s="13"/>
    </row>
    <row r="34" spans="1:7" ht="30" customHeight="1">
      <c r="A34" s="12">
        <v>33</v>
      </c>
      <c r="B34" s="12" t="s">
        <v>197</v>
      </c>
      <c r="C34" s="12">
        <v>4</v>
      </c>
      <c r="D34" s="12">
        <v>4</v>
      </c>
      <c r="E34" s="12"/>
      <c r="F34" s="12"/>
      <c r="G34" s="12"/>
    </row>
    <row r="35" spans="1:7" ht="30" customHeight="1">
      <c r="A35" s="13">
        <v>34</v>
      </c>
      <c r="B35" s="14" t="s">
        <v>152</v>
      </c>
      <c r="C35" s="14">
        <v>5</v>
      </c>
      <c r="D35" s="14">
        <v>5</v>
      </c>
      <c r="E35" s="14"/>
      <c r="F35" s="14"/>
      <c r="G35" s="14"/>
    </row>
    <row r="36" spans="1:7" ht="30" customHeight="1">
      <c r="A36" s="12">
        <v>35</v>
      </c>
      <c r="B36" s="12" t="s">
        <v>201</v>
      </c>
      <c r="C36" s="12">
        <v>6</v>
      </c>
      <c r="D36" s="12">
        <v>6</v>
      </c>
      <c r="E36" s="12"/>
      <c r="F36" s="12"/>
      <c r="G36" s="12"/>
    </row>
    <row r="37" spans="1:7" ht="30" customHeight="1">
      <c r="A37" s="13">
        <v>36</v>
      </c>
      <c r="B37" s="11" t="s">
        <v>203</v>
      </c>
      <c r="C37" s="11">
        <v>7</v>
      </c>
      <c r="D37" s="11">
        <v>7</v>
      </c>
      <c r="E37" s="11"/>
      <c r="F37" s="11"/>
      <c r="G37" s="11"/>
    </row>
    <row r="38" spans="1:7" ht="30" customHeight="1">
      <c r="A38" s="12">
        <v>37</v>
      </c>
      <c r="B38" s="12" t="s">
        <v>206</v>
      </c>
      <c r="C38" s="12">
        <v>6</v>
      </c>
      <c r="D38" s="12">
        <v>2</v>
      </c>
      <c r="E38" s="12"/>
      <c r="F38" s="12"/>
      <c r="G38" s="12"/>
    </row>
    <row r="39" spans="1:7" ht="30" customHeight="1">
      <c r="A39" s="13">
        <v>38</v>
      </c>
      <c r="B39" s="13" t="s">
        <v>149</v>
      </c>
      <c r="C39" s="13">
        <v>6</v>
      </c>
      <c r="D39" s="13">
        <v>6</v>
      </c>
      <c r="E39" s="13"/>
      <c r="F39" s="13"/>
      <c r="G39" s="13"/>
    </row>
    <row r="40" spans="1:7" ht="30" customHeight="1">
      <c r="A40" s="12">
        <v>39</v>
      </c>
      <c r="B40" s="12" t="s">
        <v>209</v>
      </c>
      <c r="C40" s="12">
        <v>5</v>
      </c>
      <c r="D40" s="12">
        <v>5</v>
      </c>
      <c r="E40" s="12"/>
      <c r="F40" s="12"/>
      <c r="G40" s="12"/>
    </row>
    <row r="41" spans="1:7" ht="30" customHeight="1">
      <c r="A41" s="13">
        <v>40</v>
      </c>
      <c r="B41" s="14" t="s">
        <v>211</v>
      </c>
      <c r="C41" s="14">
        <v>8</v>
      </c>
      <c r="D41" s="14">
        <v>8</v>
      </c>
      <c r="E41" s="14"/>
      <c r="F41" s="14"/>
      <c r="G41" s="14"/>
    </row>
    <row r="42" spans="1:7" ht="30" customHeight="1">
      <c r="A42" s="12">
        <v>41</v>
      </c>
      <c r="B42" s="12" t="s">
        <v>215</v>
      </c>
      <c r="C42" s="12">
        <v>5</v>
      </c>
      <c r="D42" s="12">
        <v>5</v>
      </c>
      <c r="E42" s="12"/>
      <c r="F42" s="12"/>
      <c r="G42" s="12"/>
    </row>
    <row r="43" spans="1:7" ht="30" customHeight="1">
      <c r="A43" s="13">
        <v>42</v>
      </c>
      <c r="B43" s="11" t="s">
        <v>218</v>
      </c>
      <c r="C43" s="11">
        <v>10</v>
      </c>
      <c r="D43" s="11">
        <v>3</v>
      </c>
      <c r="E43" s="11"/>
      <c r="F43" s="11"/>
      <c r="G43" s="11"/>
    </row>
    <row r="44" spans="1:7" ht="30" customHeight="1">
      <c r="A44" s="12">
        <v>43</v>
      </c>
      <c r="B44" s="12" t="s">
        <v>220</v>
      </c>
      <c r="C44" s="12">
        <v>5</v>
      </c>
      <c r="D44" s="12">
        <v>1</v>
      </c>
      <c r="E44" s="12"/>
      <c r="F44" s="12"/>
      <c r="G44" s="12"/>
    </row>
    <row r="45" spans="1:7" ht="30" customHeight="1">
      <c r="A45" s="13">
        <v>44</v>
      </c>
      <c r="B45" s="13" t="s">
        <v>222</v>
      </c>
      <c r="C45" s="13">
        <v>10</v>
      </c>
      <c r="D45" s="13">
        <v>10</v>
      </c>
      <c r="E45" s="13"/>
      <c r="F45" s="13"/>
      <c r="G45" s="13"/>
    </row>
    <row r="46" spans="1:7" ht="30" customHeight="1">
      <c r="A46" s="12">
        <v>45</v>
      </c>
      <c r="B46" s="12" t="s">
        <v>223</v>
      </c>
      <c r="C46" s="12">
        <v>1</v>
      </c>
      <c r="D46" s="12">
        <v>1</v>
      </c>
      <c r="E46" s="12"/>
      <c r="F46" s="12"/>
      <c r="G46" s="12"/>
    </row>
    <row r="47" spans="1:7" ht="30" customHeight="1">
      <c r="A47" s="13">
        <v>46</v>
      </c>
      <c r="B47" s="14" t="s">
        <v>210</v>
      </c>
      <c r="C47" s="14">
        <v>6</v>
      </c>
      <c r="D47" s="14">
        <v>6</v>
      </c>
      <c r="E47" s="14"/>
      <c r="F47" s="14"/>
      <c r="G47" s="14"/>
    </row>
    <row r="48" spans="1:7" ht="30" customHeight="1">
      <c r="A48" s="12">
        <v>47</v>
      </c>
      <c r="B48" s="12" t="s">
        <v>225</v>
      </c>
      <c r="C48" s="12">
        <v>5</v>
      </c>
      <c r="D48" s="12">
        <v>5</v>
      </c>
      <c r="E48" s="12"/>
      <c r="F48" s="12"/>
      <c r="G48" s="12"/>
    </row>
    <row r="49" spans="1:7" ht="30" customHeight="1">
      <c r="A49" s="13">
        <v>48</v>
      </c>
      <c r="B49" s="11" t="s">
        <v>227</v>
      </c>
      <c r="C49" s="11">
        <v>4</v>
      </c>
      <c r="D49" s="11">
        <v>4</v>
      </c>
      <c r="E49" s="11"/>
      <c r="F49" s="11"/>
      <c r="G49" s="11"/>
    </row>
    <row r="50" spans="1:7" ht="30" customHeight="1">
      <c r="A50" s="12">
        <v>49</v>
      </c>
      <c r="B50" s="12" t="s">
        <v>142</v>
      </c>
      <c r="C50" s="12">
        <v>5</v>
      </c>
      <c r="D50" s="12">
        <v>5</v>
      </c>
      <c r="E50" s="12"/>
      <c r="F50" s="12"/>
      <c r="G50" s="12"/>
    </row>
    <row r="51" spans="1:7" ht="30" customHeight="1">
      <c r="A51" s="13">
        <v>50</v>
      </c>
      <c r="B51" s="13" t="s">
        <v>231</v>
      </c>
      <c r="C51" s="13">
        <v>5</v>
      </c>
      <c r="D51" s="13">
        <v>5</v>
      </c>
      <c r="E51" s="13"/>
      <c r="F51" s="13"/>
      <c r="G51" s="13"/>
    </row>
    <row r="52" spans="1:7" ht="30" customHeight="1">
      <c r="A52" s="12">
        <v>51</v>
      </c>
      <c r="B52" s="12" t="s">
        <v>233</v>
      </c>
      <c r="C52" s="12">
        <v>5</v>
      </c>
      <c r="D52" s="12">
        <v>5</v>
      </c>
      <c r="E52" s="12"/>
      <c r="F52" s="12"/>
      <c r="G52" s="12"/>
    </row>
    <row r="53" spans="1:7" ht="30" customHeight="1">
      <c r="A53" s="13">
        <v>52</v>
      </c>
      <c r="B53" s="14" t="s">
        <v>235</v>
      </c>
      <c r="C53" s="14">
        <v>8</v>
      </c>
      <c r="D53" s="14">
        <v>8</v>
      </c>
      <c r="E53" s="14"/>
      <c r="F53" s="14"/>
      <c r="G53" s="14"/>
    </row>
    <row r="54" spans="1:7" ht="30" customHeight="1">
      <c r="A54" s="12">
        <v>53</v>
      </c>
      <c r="B54" s="12" t="s">
        <v>237</v>
      </c>
      <c r="C54" s="12">
        <v>10</v>
      </c>
      <c r="D54" s="12">
        <v>10</v>
      </c>
      <c r="E54" s="12"/>
      <c r="F54" s="12"/>
      <c r="G54" s="12"/>
    </row>
    <row r="55" spans="1:7" ht="30" customHeight="1">
      <c r="A55" s="13">
        <v>54</v>
      </c>
      <c r="B55" s="11" t="s">
        <v>232</v>
      </c>
      <c r="C55" s="11">
        <v>6</v>
      </c>
      <c r="D55" s="11">
        <v>6</v>
      </c>
      <c r="E55" s="11"/>
      <c r="F55" s="11"/>
      <c r="G55" s="11"/>
    </row>
    <row r="56" spans="1:7" ht="30" customHeight="1">
      <c r="A56" s="12">
        <v>55</v>
      </c>
      <c r="B56" s="12" t="s">
        <v>239</v>
      </c>
      <c r="C56" s="12">
        <v>10</v>
      </c>
      <c r="D56" s="12">
        <v>10</v>
      </c>
      <c r="E56" s="12"/>
      <c r="F56" s="12"/>
      <c r="G56" s="12"/>
    </row>
    <row r="57" spans="1:7" ht="30" customHeight="1">
      <c r="A57" s="13">
        <v>56</v>
      </c>
      <c r="B57" s="13" t="s">
        <v>121</v>
      </c>
      <c r="C57" s="13">
        <v>5</v>
      </c>
      <c r="D57" s="13">
        <v>5</v>
      </c>
      <c r="E57" s="13"/>
      <c r="F57" s="13"/>
      <c r="G57" s="13"/>
    </row>
    <row r="58" spans="1:7" ht="30" customHeight="1">
      <c r="A58" s="12">
        <v>57</v>
      </c>
      <c r="B58" s="12" t="s">
        <v>240</v>
      </c>
      <c r="C58" s="12">
        <v>7</v>
      </c>
      <c r="D58" s="12">
        <v>7</v>
      </c>
      <c r="E58" s="12"/>
      <c r="F58" s="12"/>
      <c r="G58" s="12"/>
    </row>
    <row r="59" spans="1:7" ht="30" customHeight="1">
      <c r="A59" s="13">
        <v>58</v>
      </c>
      <c r="B59" s="14" t="s">
        <v>242</v>
      </c>
      <c r="C59" s="14">
        <v>5</v>
      </c>
      <c r="D59" s="14">
        <v>5</v>
      </c>
      <c r="E59" s="14"/>
      <c r="F59" s="14"/>
      <c r="G59" s="14"/>
    </row>
    <row r="60" spans="1:7" ht="30" customHeight="1">
      <c r="A60" s="12">
        <v>59</v>
      </c>
      <c r="B60" s="12" t="s">
        <v>84</v>
      </c>
      <c r="C60" s="12">
        <v>5</v>
      </c>
      <c r="D60" s="12">
        <v>5</v>
      </c>
      <c r="E60" s="12"/>
      <c r="F60" s="12"/>
      <c r="G60" s="12"/>
    </row>
    <row r="61" spans="1:7" ht="30" customHeight="1">
      <c r="A61" s="13">
        <v>60</v>
      </c>
      <c r="B61" s="11" t="s">
        <v>247</v>
      </c>
      <c r="C61" s="11">
        <v>4</v>
      </c>
      <c r="D61" s="11">
        <v>4</v>
      </c>
      <c r="E61" s="11"/>
      <c r="F61" s="11"/>
      <c r="G61" s="11"/>
    </row>
    <row r="62" spans="1:7" ht="30" customHeight="1">
      <c r="A62" s="12">
        <v>61</v>
      </c>
      <c r="B62" s="12" t="s">
        <v>250</v>
      </c>
      <c r="C62" s="12">
        <v>10</v>
      </c>
      <c r="D62" s="12">
        <v>1</v>
      </c>
      <c r="E62" s="12"/>
      <c r="F62" s="12"/>
      <c r="G62" s="12"/>
    </row>
    <row r="63" spans="1:7" ht="30" customHeight="1">
      <c r="A63" s="13">
        <v>62</v>
      </c>
      <c r="B63" s="13" t="s">
        <v>198</v>
      </c>
      <c r="C63" s="13">
        <v>4</v>
      </c>
      <c r="D63" s="13">
        <v>4</v>
      </c>
      <c r="E63" s="13"/>
      <c r="F63" s="13"/>
      <c r="G63" s="13"/>
    </row>
    <row r="64" spans="1:7" ht="30" customHeight="1">
      <c r="A64" s="12">
        <v>63</v>
      </c>
      <c r="B64" s="12" t="s">
        <v>92</v>
      </c>
      <c r="C64" s="12">
        <v>10</v>
      </c>
      <c r="D64" s="12">
        <v>10</v>
      </c>
      <c r="E64" s="12"/>
      <c r="F64" s="12"/>
      <c r="G64" s="12"/>
    </row>
    <row r="65" spans="1:7" ht="30" customHeight="1">
      <c r="A65" s="13">
        <v>64</v>
      </c>
      <c r="B65" s="14" t="s">
        <v>256</v>
      </c>
      <c r="C65" s="14">
        <v>6</v>
      </c>
      <c r="D65" s="14">
        <v>6</v>
      </c>
      <c r="E65" s="14"/>
      <c r="F65" s="14"/>
      <c r="G65" s="14"/>
    </row>
    <row r="66" spans="1:7" ht="30" customHeight="1">
      <c r="A66" s="12">
        <v>65</v>
      </c>
      <c r="B66" s="12" t="s">
        <v>259</v>
      </c>
      <c r="C66" s="12">
        <v>6</v>
      </c>
      <c r="D66" s="12">
        <v>6</v>
      </c>
      <c r="E66" s="12"/>
      <c r="F66" s="12"/>
      <c r="G66" s="12"/>
    </row>
    <row r="67" spans="1:7" ht="30" customHeight="1">
      <c r="A67" s="13">
        <v>66</v>
      </c>
      <c r="B67" s="11" t="s">
        <v>104</v>
      </c>
      <c r="C67" s="11">
        <v>5</v>
      </c>
      <c r="D67" s="11">
        <v>5</v>
      </c>
      <c r="E67" s="11"/>
      <c r="F67" s="11"/>
      <c r="G67" s="11"/>
    </row>
    <row r="68" spans="1:7" ht="30" customHeight="1">
      <c r="A68" s="12">
        <v>67</v>
      </c>
      <c r="B68" s="12" t="s">
        <v>262</v>
      </c>
      <c r="C68" s="12">
        <v>5</v>
      </c>
      <c r="D68" s="12">
        <v>5</v>
      </c>
      <c r="E68" s="12"/>
      <c r="F68" s="12"/>
      <c r="G68" s="12"/>
    </row>
    <row r="69" spans="1:7" ht="30" customHeight="1">
      <c r="A69" s="13">
        <v>68</v>
      </c>
      <c r="B69" s="13" t="s">
        <v>234</v>
      </c>
      <c r="C69" s="13">
        <v>7</v>
      </c>
      <c r="D69" s="13">
        <v>7</v>
      </c>
      <c r="E69" s="13"/>
      <c r="F69" s="13"/>
      <c r="G69" s="13"/>
    </row>
    <row r="70" spans="1:7" ht="30" customHeight="1">
      <c r="A70" s="12">
        <v>69</v>
      </c>
      <c r="B70" s="12" t="s">
        <v>264</v>
      </c>
      <c r="C70" s="12">
        <v>2</v>
      </c>
      <c r="D70" s="12">
        <v>2</v>
      </c>
      <c r="E70" s="12"/>
      <c r="F70" s="12"/>
      <c r="G70" s="12"/>
    </row>
    <row r="71" spans="1:7" ht="30" customHeight="1">
      <c r="A71" s="13">
        <v>70</v>
      </c>
      <c r="B71" s="14" t="s">
        <v>266</v>
      </c>
      <c r="C71" s="14">
        <v>8</v>
      </c>
      <c r="D71" s="14">
        <v>8</v>
      </c>
      <c r="E71" s="14"/>
      <c r="F71" s="14"/>
      <c r="G71" s="14"/>
    </row>
    <row r="72" spans="1:7" ht="30" customHeight="1">
      <c r="A72" s="12">
        <v>71</v>
      </c>
      <c r="B72" s="12" t="s">
        <v>267</v>
      </c>
      <c r="C72" s="12">
        <v>1</v>
      </c>
      <c r="D72" s="12">
        <v>1</v>
      </c>
      <c r="E72" s="12"/>
      <c r="F72" s="12"/>
      <c r="G72" s="12"/>
    </row>
    <row r="73" spans="1:7" ht="30" customHeight="1">
      <c r="A73" s="13">
        <v>72</v>
      </c>
      <c r="B73" s="11" t="s">
        <v>219</v>
      </c>
      <c r="C73" s="11">
        <v>4</v>
      </c>
      <c r="D73" s="11">
        <v>4</v>
      </c>
      <c r="E73" s="11"/>
      <c r="F73" s="11"/>
      <c r="G73" s="11"/>
    </row>
    <row r="74" spans="1:7" ht="30" customHeight="1">
      <c r="A74" s="12">
        <v>73</v>
      </c>
      <c r="B74" s="12" t="s">
        <v>268</v>
      </c>
      <c r="C74" s="12">
        <v>22</v>
      </c>
      <c r="D74" s="12">
        <v>22</v>
      </c>
      <c r="E74" s="12"/>
      <c r="F74" s="12"/>
      <c r="G74" s="12"/>
    </row>
    <row r="75" spans="1:7" ht="30" customHeight="1">
      <c r="A75" s="13">
        <v>74</v>
      </c>
      <c r="B75" s="13" t="s">
        <v>272</v>
      </c>
      <c r="C75" s="13">
        <v>1</v>
      </c>
      <c r="D75" s="13">
        <v>1</v>
      </c>
      <c r="E75" s="13"/>
      <c r="F75" s="13"/>
      <c r="G75" s="13"/>
    </row>
    <row r="76" spans="1:7" ht="30" customHeight="1">
      <c r="A76" s="12">
        <v>75</v>
      </c>
      <c r="B76" s="12" t="s">
        <v>126</v>
      </c>
      <c r="C76" s="12">
        <v>8</v>
      </c>
      <c r="D76" s="12">
        <v>8</v>
      </c>
      <c r="E76" s="12"/>
      <c r="F76" s="12"/>
      <c r="G76" s="12"/>
    </row>
    <row r="77" spans="1:7" ht="30" customHeight="1">
      <c r="A77" s="13">
        <v>76</v>
      </c>
      <c r="B77" s="14" t="s">
        <v>241</v>
      </c>
      <c r="C77" s="14">
        <v>5</v>
      </c>
      <c r="D77" s="14">
        <v>5</v>
      </c>
      <c r="E77" s="14"/>
      <c r="F77" s="14"/>
      <c r="G77" s="14"/>
    </row>
    <row r="78" spans="1:7" ht="30" customHeight="1">
      <c r="A78" s="12">
        <v>77</v>
      </c>
      <c r="B78" s="12" t="s">
        <v>275</v>
      </c>
      <c r="C78" s="12">
        <v>8</v>
      </c>
      <c r="D78" s="12">
        <v>8</v>
      </c>
      <c r="E78" s="12"/>
      <c r="F78" s="12"/>
      <c r="G78" s="12"/>
    </row>
    <row r="79" spans="1:7" ht="30" customHeight="1">
      <c r="A79" s="13">
        <v>78</v>
      </c>
      <c r="B79" s="11" t="s">
        <v>277</v>
      </c>
      <c r="C79" s="11">
        <v>6</v>
      </c>
      <c r="D79" s="11">
        <v>6</v>
      </c>
      <c r="E79" s="11"/>
      <c r="F79" s="11"/>
      <c r="G79" s="11"/>
    </row>
    <row r="80" spans="1:7" ht="30" customHeight="1">
      <c r="A80" s="12">
        <v>79</v>
      </c>
      <c r="B80" s="12" t="s">
        <v>251</v>
      </c>
      <c r="C80" s="12">
        <v>5</v>
      </c>
      <c r="D80" s="12">
        <v>5</v>
      </c>
      <c r="E80" s="12"/>
      <c r="F80" s="12"/>
      <c r="G80" s="12"/>
    </row>
    <row r="81" spans="1:7" ht="30" customHeight="1">
      <c r="A81" s="13">
        <v>80</v>
      </c>
      <c r="B81" s="13" t="s">
        <v>238</v>
      </c>
      <c r="C81" s="13">
        <v>5</v>
      </c>
      <c r="D81" s="13">
        <v>5</v>
      </c>
      <c r="E81" s="13"/>
      <c r="F81" s="13"/>
      <c r="G81" s="13"/>
    </row>
    <row r="82" spans="1:7" ht="30" customHeight="1">
      <c r="A82" s="12">
        <v>81</v>
      </c>
      <c r="B82" s="12" t="s">
        <v>146</v>
      </c>
      <c r="C82" s="12">
        <v>6</v>
      </c>
      <c r="D82" s="12">
        <v>6</v>
      </c>
      <c r="E82" s="12"/>
      <c r="F82" s="12"/>
      <c r="G82" s="12"/>
    </row>
    <row r="83" spans="1:7" ht="30" customHeight="1">
      <c r="A83" s="13">
        <v>82</v>
      </c>
      <c r="B83" s="14" t="s">
        <v>278</v>
      </c>
      <c r="C83" s="14">
        <v>36</v>
      </c>
      <c r="D83" s="14"/>
      <c r="E83" s="14"/>
      <c r="F83" s="14"/>
      <c r="G83" s="14"/>
    </row>
    <row r="84" spans="1:7" ht="30" customHeight="1">
      <c r="A84" s="12">
        <v>83</v>
      </c>
      <c r="B84" s="12" t="s">
        <v>279</v>
      </c>
      <c r="C84" s="12">
        <v>7</v>
      </c>
      <c r="D84" s="12">
        <v>7</v>
      </c>
      <c r="E84" s="12"/>
      <c r="F84" s="12"/>
      <c r="G84" s="12"/>
    </row>
    <row r="85" spans="1:7" ht="30" customHeight="1">
      <c r="A85" s="13">
        <v>84</v>
      </c>
      <c r="B85" s="11" t="s">
        <v>280</v>
      </c>
      <c r="C85" s="11">
        <v>1</v>
      </c>
      <c r="D85" s="11">
        <v>1</v>
      </c>
      <c r="E85" s="11"/>
      <c r="F85" s="11"/>
      <c r="G85" s="11"/>
    </row>
    <row r="86" spans="1:7" ht="30" customHeight="1">
      <c r="A86" s="12">
        <v>85</v>
      </c>
      <c r="B86" s="12" t="s">
        <v>281</v>
      </c>
      <c r="C86" s="12">
        <v>12</v>
      </c>
      <c r="D86" s="12">
        <v>7</v>
      </c>
      <c r="E86" s="12"/>
      <c r="F86" s="12"/>
      <c r="G86" s="12"/>
    </row>
    <row r="87" spans="1:7" ht="30" customHeight="1">
      <c r="A87" s="13">
        <v>86</v>
      </c>
      <c r="B87" s="13" t="s">
        <v>282</v>
      </c>
      <c r="C87" s="13">
        <v>6</v>
      </c>
      <c r="D87" s="13">
        <v>5</v>
      </c>
      <c r="E87" s="13"/>
      <c r="F87" s="13"/>
      <c r="G87" s="13"/>
    </row>
    <row r="88" spans="1:7" ht="30" customHeight="1">
      <c r="A88" s="12">
        <v>87</v>
      </c>
      <c r="B88" s="12" t="s">
        <v>66</v>
      </c>
      <c r="C88" s="12">
        <v>5</v>
      </c>
      <c r="D88" s="12">
        <v>5</v>
      </c>
      <c r="E88" s="12"/>
      <c r="F88" s="12"/>
      <c r="G88" s="12"/>
    </row>
    <row r="89" spans="1:7" ht="30" customHeight="1">
      <c r="A89" s="13">
        <v>88</v>
      </c>
      <c r="B89" s="14" t="s">
        <v>283</v>
      </c>
      <c r="C89" s="14">
        <v>2</v>
      </c>
      <c r="D89" s="14">
        <v>2</v>
      </c>
      <c r="E89" s="14"/>
      <c r="F89" s="14"/>
      <c r="G89" s="14"/>
    </row>
    <row r="90" spans="1:7" ht="30" customHeight="1">
      <c r="A90" s="12">
        <v>89</v>
      </c>
      <c r="B90" s="12" t="s">
        <v>284</v>
      </c>
      <c r="C90" s="12">
        <v>1</v>
      </c>
      <c r="D90" s="12">
        <v>1</v>
      </c>
      <c r="E90" s="12"/>
      <c r="F90" s="12"/>
      <c r="G90" s="12"/>
    </row>
    <row r="91" spans="1:7" ht="30" customHeight="1">
      <c r="A91" s="13">
        <v>90</v>
      </c>
      <c r="B91" s="11" t="s">
        <v>285</v>
      </c>
      <c r="C91" s="11">
        <v>7</v>
      </c>
      <c r="D91" s="11">
        <v>7</v>
      </c>
      <c r="E91" s="11"/>
      <c r="F91" s="11"/>
      <c r="G91" s="11"/>
    </row>
    <row r="92" spans="1:7" ht="30" customHeight="1">
      <c r="A92" s="12">
        <v>91</v>
      </c>
      <c r="B92" s="12" t="s">
        <v>286</v>
      </c>
      <c r="C92" s="12">
        <v>3</v>
      </c>
      <c r="D92" s="12">
        <v>3</v>
      </c>
      <c r="E92" s="12"/>
      <c r="F92" s="12"/>
      <c r="G92" s="12"/>
    </row>
    <row r="93" spans="1:7" ht="30" customHeight="1">
      <c r="A93" s="13">
        <v>92</v>
      </c>
      <c r="B93" s="13" t="s">
        <v>287</v>
      </c>
      <c r="C93" s="13">
        <v>10</v>
      </c>
      <c r="D93" s="13">
        <v>10</v>
      </c>
      <c r="E93" s="13"/>
      <c r="F93" s="13"/>
      <c r="G93" s="13"/>
    </row>
    <row r="94" spans="1:7" ht="30" customHeight="1">
      <c r="A94" s="12">
        <v>93</v>
      </c>
      <c r="B94" s="12" t="s">
        <v>288</v>
      </c>
      <c r="C94" s="12">
        <v>3</v>
      </c>
      <c r="D94" s="12">
        <v>3</v>
      </c>
      <c r="E94" s="12"/>
      <c r="F94" s="12"/>
      <c r="G94" s="12"/>
    </row>
    <row r="95" spans="1:7" ht="30" customHeight="1">
      <c r="A95" s="13">
        <v>94</v>
      </c>
      <c r="B95" s="14" t="s">
        <v>289</v>
      </c>
      <c r="C95" s="14">
        <v>6</v>
      </c>
      <c r="D95" s="14">
        <v>6</v>
      </c>
      <c r="E95" s="14"/>
      <c r="F95" s="14"/>
      <c r="G95" s="14"/>
    </row>
    <row r="96" spans="1:7" ht="30" customHeight="1">
      <c r="A96" s="12">
        <v>95</v>
      </c>
      <c r="B96" s="12" t="s">
        <v>290</v>
      </c>
      <c r="C96" s="12">
        <v>3</v>
      </c>
      <c r="D96" s="12">
        <v>3</v>
      </c>
      <c r="E96" s="12"/>
      <c r="F96" s="12"/>
      <c r="G96" s="12"/>
    </row>
    <row r="97" spans="1:7" ht="30" customHeight="1">
      <c r="A97" s="13">
        <v>96</v>
      </c>
      <c r="B97" s="11" t="s">
        <v>291</v>
      </c>
      <c r="C97" s="11">
        <v>1</v>
      </c>
      <c r="D97" s="11">
        <v>1</v>
      </c>
      <c r="E97" s="11"/>
      <c r="F97" s="11"/>
      <c r="G97" s="11"/>
    </row>
    <row r="98" spans="1:7" ht="30" customHeight="1">
      <c r="A98" s="12">
        <v>97</v>
      </c>
      <c r="B98" s="12" t="s">
        <v>292</v>
      </c>
      <c r="C98" s="12">
        <v>20</v>
      </c>
      <c r="D98" s="12">
        <v>2</v>
      </c>
      <c r="E98" s="12"/>
      <c r="F98" s="12"/>
      <c r="G98" s="12"/>
    </row>
    <row r="99" spans="1:7" ht="30" customHeight="1">
      <c r="A99" s="13">
        <v>98</v>
      </c>
      <c r="B99" s="13" t="s">
        <v>293</v>
      </c>
      <c r="C99" s="13">
        <v>10</v>
      </c>
      <c r="D99" s="13">
        <v>2</v>
      </c>
      <c r="E99" s="13"/>
      <c r="F99" s="13"/>
      <c r="G99" s="13"/>
    </row>
    <row r="100" spans="1:7" ht="30" customHeight="1">
      <c r="A100" s="12">
        <v>99</v>
      </c>
      <c r="B100" s="12" t="s">
        <v>294</v>
      </c>
      <c r="C100" s="12">
        <v>23</v>
      </c>
      <c r="D100" s="12">
        <v>9</v>
      </c>
      <c r="E100" s="12"/>
      <c r="F100" s="12"/>
      <c r="G100" s="12"/>
    </row>
    <row r="101" spans="1:7" ht="30" customHeight="1">
      <c r="A101" s="13">
        <v>100</v>
      </c>
      <c r="B101" s="14" t="s">
        <v>295</v>
      </c>
      <c r="C101" s="14">
        <v>1</v>
      </c>
      <c r="D101" s="14">
        <v>1</v>
      </c>
      <c r="E101" s="14"/>
      <c r="F101" s="14"/>
      <c r="G101" s="14"/>
    </row>
    <row r="102" spans="1:7" ht="30" customHeight="1">
      <c r="A102" s="12">
        <v>101</v>
      </c>
      <c r="B102" s="12" t="s">
        <v>296</v>
      </c>
      <c r="C102" s="12">
        <v>12</v>
      </c>
      <c r="D102" s="12">
        <v>12</v>
      </c>
      <c r="E102" s="12"/>
      <c r="F102" s="12"/>
      <c r="G102" s="12"/>
    </row>
    <row r="103" spans="1:7" ht="30" customHeight="1">
      <c r="A103" s="13">
        <v>102</v>
      </c>
      <c r="B103" s="11" t="s">
        <v>297</v>
      </c>
      <c r="C103" s="11">
        <v>8</v>
      </c>
      <c r="D103" s="11">
        <v>8</v>
      </c>
      <c r="E103" s="11"/>
      <c r="F103" s="11"/>
      <c r="G103" s="11"/>
    </row>
    <row r="104" spans="1:7" ht="30" customHeight="1">
      <c r="A104" s="12">
        <v>103</v>
      </c>
      <c r="B104" s="12" t="s">
        <v>298</v>
      </c>
      <c r="C104" s="12">
        <v>10</v>
      </c>
      <c r="D104" s="12">
        <v>10</v>
      </c>
      <c r="E104" s="12"/>
      <c r="F104" s="12"/>
      <c r="G104" s="12"/>
    </row>
    <row r="105" spans="1:7" ht="30" customHeight="1">
      <c r="A105" s="13">
        <v>104</v>
      </c>
      <c r="B105" s="13" t="s">
        <v>299</v>
      </c>
      <c r="C105" s="13">
        <v>3</v>
      </c>
      <c r="D105" s="13">
        <v>3</v>
      </c>
      <c r="E105" s="13"/>
      <c r="F105" s="13"/>
      <c r="G105" s="13"/>
    </row>
    <row r="106" spans="1:7" ht="30" customHeight="1">
      <c r="A106" s="12">
        <v>105</v>
      </c>
      <c r="B106" s="12" t="s">
        <v>300</v>
      </c>
      <c r="C106" s="12">
        <v>8</v>
      </c>
      <c r="D106" s="12">
        <v>8</v>
      </c>
      <c r="E106" s="12"/>
      <c r="F106" s="12"/>
      <c r="G106" s="12"/>
    </row>
    <row r="107" spans="1:7" ht="30" customHeight="1">
      <c r="A107" s="13">
        <v>106</v>
      </c>
      <c r="B107" s="14" t="s">
        <v>301</v>
      </c>
      <c r="C107" s="14">
        <v>8</v>
      </c>
      <c r="D107" s="14">
        <v>1</v>
      </c>
      <c r="E107" s="14"/>
      <c r="F107" s="14"/>
      <c r="G107" s="14"/>
    </row>
    <row r="108" spans="1:7" ht="30" customHeight="1">
      <c r="A108" s="12">
        <v>107</v>
      </c>
      <c r="B108" s="12" t="s">
        <v>302</v>
      </c>
      <c r="C108" s="12">
        <v>2</v>
      </c>
      <c r="D108" s="12">
        <v>2</v>
      </c>
      <c r="E108" s="12"/>
      <c r="F108" s="12"/>
      <c r="G108" s="12"/>
    </row>
    <row r="109" spans="1:7" ht="30" customHeight="1">
      <c r="A109" s="13">
        <v>108</v>
      </c>
      <c r="B109" s="11" t="s">
        <v>303</v>
      </c>
      <c r="C109" s="11">
        <v>81</v>
      </c>
      <c r="D109" s="11">
        <v>63</v>
      </c>
      <c r="E109" s="11"/>
      <c r="F109" s="11"/>
      <c r="G109" s="11"/>
    </row>
    <row r="110" spans="1:7" ht="30" customHeight="1">
      <c r="A110" s="12">
        <v>109</v>
      </c>
      <c r="B110" s="12" t="s">
        <v>304</v>
      </c>
      <c r="C110" s="12">
        <v>7</v>
      </c>
      <c r="D110" s="12">
        <v>7</v>
      </c>
      <c r="E110" s="12"/>
      <c r="F110" s="12"/>
      <c r="G110" s="12"/>
    </row>
    <row r="111" spans="1:7" ht="30" customHeight="1">
      <c r="A111" s="13">
        <v>110</v>
      </c>
      <c r="B111" s="13" t="s">
        <v>305</v>
      </c>
      <c r="C111" s="13">
        <v>5</v>
      </c>
      <c r="D111" s="13">
        <v>5</v>
      </c>
      <c r="E111" s="13"/>
      <c r="F111" s="13"/>
      <c r="G111" s="13"/>
    </row>
    <row r="112" spans="1:7" ht="30" customHeight="1">
      <c r="A112" s="12">
        <v>111</v>
      </c>
      <c r="B112" s="12" t="s">
        <v>306</v>
      </c>
      <c r="C112" s="12">
        <v>2</v>
      </c>
      <c r="D112" s="12">
        <v>2</v>
      </c>
      <c r="E112" s="12"/>
      <c r="F112" s="12"/>
      <c r="G112" s="12"/>
    </row>
    <row r="113" spans="1:7" ht="30" customHeight="1">
      <c r="A113" s="13">
        <v>112</v>
      </c>
      <c r="B113" s="14" t="s">
        <v>307</v>
      </c>
      <c r="C113" s="14">
        <v>10</v>
      </c>
      <c r="D113" s="14">
        <v>10</v>
      </c>
      <c r="E113" s="14"/>
      <c r="F113" s="14"/>
      <c r="G113" s="14"/>
    </row>
    <row r="114" spans="1:7" ht="30" customHeight="1">
      <c r="A114" s="12">
        <v>113</v>
      </c>
      <c r="B114" s="12" t="s">
        <v>308</v>
      </c>
      <c r="C114" s="12">
        <v>4</v>
      </c>
      <c r="D114" s="12">
        <v>4</v>
      </c>
      <c r="E114" s="12"/>
      <c r="F114" s="12"/>
      <c r="G114" s="12"/>
    </row>
    <row r="115" spans="1:7" ht="30" customHeight="1">
      <c r="A115" s="13">
        <v>114</v>
      </c>
      <c r="B115" s="11" t="s">
        <v>309</v>
      </c>
      <c r="C115" s="11">
        <v>24</v>
      </c>
      <c r="D115" s="11">
        <v>24</v>
      </c>
      <c r="E115" s="11"/>
      <c r="F115" s="11"/>
      <c r="G115" s="11"/>
    </row>
    <row r="116" spans="1:7" ht="30" customHeight="1">
      <c r="A116" s="12">
        <v>115</v>
      </c>
      <c r="B116" s="12" t="s">
        <v>311</v>
      </c>
      <c r="C116" s="12">
        <v>12</v>
      </c>
      <c r="D116" s="12">
        <v>9</v>
      </c>
      <c r="E116" s="12"/>
      <c r="F116" s="12"/>
      <c r="G116" s="12"/>
    </row>
    <row r="117" spans="1:7" ht="30" customHeight="1">
      <c r="A117" s="13">
        <v>116</v>
      </c>
      <c r="B117" s="13" t="s">
        <v>312</v>
      </c>
      <c r="C117" s="13">
        <v>1</v>
      </c>
      <c r="D117" s="13">
        <v>1</v>
      </c>
      <c r="E117" s="13"/>
      <c r="F117" s="13"/>
      <c r="G117" s="13"/>
    </row>
    <row r="118" spans="1:7" ht="30" customHeight="1">
      <c r="A118" s="12">
        <v>117</v>
      </c>
      <c r="B118" s="12" t="s">
        <v>313</v>
      </c>
      <c r="C118" s="12">
        <v>7</v>
      </c>
      <c r="D118" s="12">
        <v>7</v>
      </c>
      <c r="E118" s="12"/>
      <c r="F118" s="12"/>
      <c r="G118" s="12"/>
    </row>
    <row r="119" spans="1:7" ht="30" customHeight="1">
      <c r="A119" s="13">
        <v>118</v>
      </c>
      <c r="B119" s="14" t="s">
        <v>314</v>
      </c>
      <c r="C119" s="14">
        <v>12</v>
      </c>
      <c r="D119" s="14">
        <v>5</v>
      </c>
      <c r="E119" s="14"/>
      <c r="F119" s="14"/>
      <c r="G119" s="14"/>
    </row>
    <row r="120" spans="1:7" ht="30" customHeight="1">
      <c r="A120" s="12">
        <v>119</v>
      </c>
      <c r="B120" s="12" t="s">
        <v>315</v>
      </c>
      <c r="C120" s="12">
        <v>5</v>
      </c>
      <c r="D120" s="12">
        <v>2</v>
      </c>
      <c r="E120" s="12"/>
      <c r="F120" s="12"/>
      <c r="G120" s="12"/>
    </row>
    <row r="121" spans="1:7" ht="30" customHeight="1">
      <c r="A121" s="13">
        <v>120</v>
      </c>
      <c r="B121" s="11" t="s">
        <v>316</v>
      </c>
      <c r="C121" s="11">
        <v>4</v>
      </c>
      <c r="D121" s="11">
        <v>1</v>
      </c>
      <c r="E121" s="11"/>
      <c r="F121" s="11"/>
      <c r="G121" s="11"/>
    </row>
    <row r="122" spans="1:7" ht="30" customHeight="1">
      <c r="A122" s="12">
        <v>121</v>
      </c>
      <c r="B122" s="12" t="s">
        <v>317</v>
      </c>
      <c r="C122" s="12">
        <v>4</v>
      </c>
      <c r="D122" s="12">
        <v>4</v>
      </c>
      <c r="E122" s="12"/>
      <c r="F122" s="12"/>
      <c r="G122" s="12"/>
    </row>
    <row r="123" spans="1:7" ht="30" customHeight="1">
      <c r="A123" s="13">
        <v>122</v>
      </c>
      <c r="B123" s="13" t="s">
        <v>318</v>
      </c>
      <c r="C123" s="13">
        <v>5</v>
      </c>
      <c r="D123" s="13">
        <v>5</v>
      </c>
      <c r="E123" s="13"/>
      <c r="F123" s="13"/>
      <c r="G123" s="13"/>
    </row>
    <row r="124" spans="1:7" ht="30" customHeight="1">
      <c r="A124" s="12">
        <v>123</v>
      </c>
      <c r="B124" s="12" t="s">
        <v>319</v>
      </c>
      <c r="C124" s="12">
        <v>5</v>
      </c>
      <c r="D124" s="12">
        <v>5</v>
      </c>
      <c r="E124" s="12"/>
      <c r="F124" s="12"/>
      <c r="G124" s="12"/>
    </row>
    <row r="125" spans="1:7" ht="30" customHeight="1">
      <c r="A125" s="13">
        <v>124</v>
      </c>
      <c r="B125" s="14" t="s">
        <v>320</v>
      </c>
      <c r="C125" s="14">
        <v>14</v>
      </c>
      <c r="D125" s="14">
        <v>14</v>
      </c>
      <c r="E125" s="14"/>
      <c r="F125" s="14"/>
      <c r="G125" s="14"/>
    </row>
    <row r="126" spans="1:7" ht="30" customHeight="1">
      <c r="A126" s="12">
        <v>125</v>
      </c>
      <c r="B126" s="12" t="s">
        <v>322</v>
      </c>
      <c r="C126" s="12">
        <v>6</v>
      </c>
      <c r="D126" s="12">
        <v>6</v>
      </c>
      <c r="E126" s="12"/>
      <c r="F126" s="12"/>
      <c r="G126" s="12"/>
    </row>
    <row r="127" spans="1:7" ht="30" customHeight="1">
      <c r="A127" s="13">
        <v>126</v>
      </c>
      <c r="B127" s="11" t="s">
        <v>323</v>
      </c>
      <c r="C127" s="11">
        <v>1</v>
      </c>
      <c r="D127" s="11">
        <v>1</v>
      </c>
      <c r="E127" s="11"/>
      <c r="F127" s="11"/>
      <c r="G127" s="11"/>
    </row>
    <row r="128" spans="1:7" ht="30" customHeight="1">
      <c r="A128" s="12">
        <v>127</v>
      </c>
      <c r="B128" s="12" t="s">
        <v>324</v>
      </c>
      <c r="C128" s="12">
        <v>9</v>
      </c>
      <c r="D128" s="12"/>
      <c r="E128" s="12"/>
      <c r="F128" s="12"/>
      <c r="G128" s="12"/>
    </row>
    <row r="129" spans="1:7" ht="30" customHeight="1">
      <c r="A129" s="13">
        <v>128</v>
      </c>
      <c r="B129" s="13" t="s">
        <v>326</v>
      </c>
      <c r="C129" s="13">
        <v>4</v>
      </c>
      <c r="D129" s="13">
        <v>4</v>
      </c>
      <c r="E129" s="13"/>
      <c r="F129" s="13"/>
      <c r="G129" s="13"/>
    </row>
    <row r="130" spans="1:7" ht="30" customHeight="1">
      <c r="A130" s="12">
        <v>129</v>
      </c>
      <c r="B130" s="12" t="s">
        <v>327</v>
      </c>
      <c r="C130" s="12">
        <v>12</v>
      </c>
      <c r="D130" s="12">
        <v>12</v>
      </c>
      <c r="E130" s="12"/>
      <c r="F130" s="12"/>
      <c r="G130" s="12"/>
    </row>
    <row r="131" spans="1:7" ht="30" customHeight="1">
      <c r="A131" s="13">
        <v>130</v>
      </c>
      <c r="B131" s="14" t="s">
        <v>329</v>
      </c>
      <c r="C131" s="14"/>
      <c r="D131" s="14"/>
      <c r="E131" s="14"/>
      <c r="F131" s="14"/>
      <c r="G131" s="14"/>
    </row>
    <row r="132" spans="1:7" ht="30" customHeight="1">
      <c r="A132" s="12">
        <v>131</v>
      </c>
      <c r="B132" s="12" t="s">
        <v>331</v>
      </c>
      <c r="C132" s="12">
        <v>1</v>
      </c>
      <c r="D132" s="12">
        <v>1</v>
      </c>
      <c r="E132" s="12"/>
      <c r="F132" s="12"/>
      <c r="G132" s="12"/>
    </row>
    <row r="133" spans="1:7" ht="30" customHeight="1">
      <c r="A133" s="13">
        <v>132</v>
      </c>
      <c r="B133" s="11" t="s">
        <v>332</v>
      </c>
      <c r="C133" s="11">
        <v>3</v>
      </c>
      <c r="D133" s="11">
        <v>3</v>
      </c>
      <c r="E133" s="11"/>
      <c r="F133" s="11"/>
      <c r="G133" s="11"/>
    </row>
    <row r="134" spans="1:7" ht="30" customHeight="1">
      <c r="A134" s="12">
        <v>133</v>
      </c>
      <c r="B134" s="12" t="s">
        <v>333</v>
      </c>
      <c r="C134" s="12">
        <v>8</v>
      </c>
      <c r="D134" s="12">
        <v>8</v>
      </c>
      <c r="E134" s="12"/>
      <c r="F134" s="12"/>
      <c r="G134" s="12"/>
    </row>
    <row r="135" spans="1:7" ht="30" customHeight="1">
      <c r="A135" s="13">
        <v>134</v>
      </c>
      <c r="B135" s="13" t="s">
        <v>334</v>
      </c>
      <c r="C135" s="13">
        <v>7</v>
      </c>
      <c r="D135" s="13">
        <v>7</v>
      </c>
      <c r="E135" s="13"/>
      <c r="F135" s="13"/>
      <c r="G135" s="13"/>
    </row>
    <row r="136" spans="1:7" ht="30" customHeight="1">
      <c r="A136" s="12">
        <v>135</v>
      </c>
      <c r="B136" s="12" t="s">
        <v>335</v>
      </c>
      <c r="C136" s="12">
        <v>1</v>
      </c>
      <c r="D136" s="12">
        <v>1</v>
      </c>
      <c r="E136" s="12"/>
      <c r="F136" s="12"/>
      <c r="G136" s="12"/>
    </row>
    <row r="137" spans="1:7" ht="30" customHeight="1">
      <c r="A137" s="13">
        <v>136</v>
      </c>
      <c r="B137" s="14" t="s">
        <v>132</v>
      </c>
      <c r="C137" s="14">
        <v>5</v>
      </c>
      <c r="D137" s="14">
        <v>5</v>
      </c>
      <c r="E137" s="14"/>
      <c r="F137" s="14"/>
      <c r="G137" s="14"/>
    </row>
    <row r="138" spans="1:7" ht="30" customHeight="1">
      <c r="A138" s="12">
        <v>137</v>
      </c>
      <c r="B138" s="12" t="s">
        <v>336</v>
      </c>
      <c r="C138" s="12">
        <v>1</v>
      </c>
      <c r="D138" s="12">
        <v>1</v>
      </c>
      <c r="E138" s="12"/>
      <c r="F138" s="12"/>
      <c r="G138" s="12"/>
    </row>
    <row r="139" spans="1:7" ht="30" customHeight="1">
      <c r="A139" s="13">
        <v>138</v>
      </c>
      <c r="B139" s="11" t="s">
        <v>337</v>
      </c>
      <c r="C139" s="11">
        <v>4</v>
      </c>
      <c r="D139" s="11">
        <v>4</v>
      </c>
      <c r="E139" s="11"/>
      <c r="F139" s="11"/>
      <c r="G139" s="11"/>
    </row>
    <row r="140" spans="1:7" ht="30" customHeight="1">
      <c r="A140" s="12">
        <v>139</v>
      </c>
      <c r="B140" s="12" t="s">
        <v>338</v>
      </c>
      <c r="C140" s="12">
        <v>12</v>
      </c>
      <c r="D140" s="12">
        <v>11</v>
      </c>
      <c r="E140" s="12"/>
      <c r="F140" s="12"/>
      <c r="G140" s="12"/>
    </row>
    <row r="141" spans="1:7" ht="30" customHeight="1">
      <c r="A141" s="13">
        <v>140</v>
      </c>
      <c r="B141" s="13" t="s">
        <v>339</v>
      </c>
      <c r="C141" s="13">
        <v>28</v>
      </c>
      <c r="D141" s="13">
        <v>0</v>
      </c>
      <c r="E141" s="13"/>
      <c r="F141" s="13"/>
      <c r="G141" s="13"/>
    </row>
    <row r="142" spans="1:7" ht="30" customHeight="1">
      <c r="A142" s="12">
        <v>141</v>
      </c>
      <c r="B142" s="12" t="s">
        <v>340</v>
      </c>
      <c r="C142" s="12">
        <v>12</v>
      </c>
      <c r="D142" s="12">
        <v>12</v>
      </c>
      <c r="E142" s="12"/>
      <c r="F142" s="12"/>
      <c r="G142" s="12"/>
    </row>
    <row r="143" spans="1:7" ht="30" customHeight="1">
      <c r="A143" s="13">
        <v>142</v>
      </c>
      <c r="B143" s="14" t="s">
        <v>341</v>
      </c>
      <c r="C143" s="14">
        <v>6</v>
      </c>
      <c r="D143" s="14">
        <v>6</v>
      </c>
      <c r="E143" s="14"/>
      <c r="F143" s="14"/>
      <c r="G143" s="14"/>
    </row>
    <row r="144" spans="1:7" ht="30" customHeight="1">
      <c r="A144" s="12">
        <v>143</v>
      </c>
      <c r="B144" s="12" t="s">
        <v>342</v>
      </c>
      <c r="C144" s="12">
        <v>8</v>
      </c>
      <c r="D144" s="12">
        <v>4</v>
      </c>
      <c r="E144" s="12"/>
      <c r="F144" s="12"/>
      <c r="G144" s="12"/>
    </row>
    <row r="145" spans="1:7" ht="30" customHeight="1">
      <c r="A145" s="13">
        <v>144</v>
      </c>
      <c r="B145" s="11" t="s">
        <v>343</v>
      </c>
      <c r="C145" s="11">
        <v>8</v>
      </c>
      <c r="D145" s="11">
        <v>8</v>
      </c>
      <c r="E145" s="11"/>
      <c r="F145" s="11"/>
      <c r="G145" s="11"/>
    </row>
    <row r="146" spans="1:7" ht="30" customHeight="1">
      <c r="A146" s="12">
        <v>145</v>
      </c>
      <c r="B146" s="12" t="s">
        <v>344</v>
      </c>
      <c r="C146" s="12">
        <v>7</v>
      </c>
      <c r="D146" s="12">
        <v>1</v>
      </c>
      <c r="E146" s="12"/>
      <c r="F146" s="12"/>
      <c r="G146" s="12"/>
    </row>
    <row r="147" spans="1:7" ht="30" customHeight="1">
      <c r="A147" s="13">
        <v>146</v>
      </c>
      <c r="B147" s="13" t="s">
        <v>196</v>
      </c>
      <c r="C147" s="13">
        <v>13</v>
      </c>
      <c r="D147" s="13">
        <v>6</v>
      </c>
      <c r="E147" s="13"/>
      <c r="F147" s="13"/>
      <c r="G147" s="13"/>
    </row>
    <row r="148" spans="1:7" ht="30" customHeight="1">
      <c r="A148" s="12">
        <v>147</v>
      </c>
      <c r="B148" s="12" t="s">
        <v>346</v>
      </c>
      <c r="C148" s="12">
        <v>6</v>
      </c>
      <c r="D148" s="12">
        <v>6</v>
      </c>
      <c r="E148" s="12"/>
      <c r="F148" s="12"/>
      <c r="G148" s="12"/>
    </row>
    <row r="149" spans="1:7" ht="30" customHeight="1">
      <c r="A149" s="13">
        <v>148</v>
      </c>
      <c r="B149" s="14" t="s">
        <v>347</v>
      </c>
      <c r="C149" s="14">
        <v>6</v>
      </c>
      <c r="D149" s="14">
        <v>6</v>
      </c>
      <c r="E149" s="14"/>
      <c r="F149" s="14"/>
      <c r="G149" s="14"/>
    </row>
    <row r="150" spans="1:7" ht="30" customHeight="1">
      <c r="A150" s="12">
        <v>149</v>
      </c>
      <c r="B150" s="12" t="s">
        <v>342</v>
      </c>
      <c r="C150" s="12">
        <v>7</v>
      </c>
      <c r="D150" s="12">
        <v>7</v>
      </c>
      <c r="E150" s="12"/>
      <c r="F150" s="12"/>
      <c r="G150" s="12"/>
    </row>
    <row r="151" spans="1:7" ht="30" customHeight="1">
      <c r="A151" s="13">
        <v>150</v>
      </c>
      <c r="B151" s="11" t="s">
        <v>200</v>
      </c>
      <c r="C151" s="11">
        <v>8</v>
      </c>
      <c r="D151" s="11">
        <v>8</v>
      </c>
      <c r="E151" s="11"/>
      <c r="F151" s="11"/>
      <c r="G151" s="11"/>
    </row>
    <row r="152" spans="1:7" ht="30" customHeight="1">
      <c r="A152" s="12">
        <v>151</v>
      </c>
      <c r="B152" s="12" t="s">
        <v>348</v>
      </c>
      <c r="C152" s="12">
        <v>17</v>
      </c>
      <c r="D152" s="12">
        <v>13</v>
      </c>
      <c r="E152" s="12"/>
      <c r="F152" s="12"/>
      <c r="G152" s="12"/>
    </row>
    <row r="153" spans="1:7" ht="30" customHeight="1">
      <c r="A153" s="13">
        <v>152</v>
      </c>
      <c r="B153" s="13" t="s">
        <v>349</v>
      </c>
      <c r="C153" s="13">
        <v>5</v>
      </c>
      <c r="D153" s="13">
        <v>4</v>
      </c>
      <c r="E153" s="13"/>
      <c r="F153" s="13"/>
      <c r="G153" s="13"/>
    </row>
    <row r="154" spans="1:7" ht="30" customHeight="1">
      <c r="A154" s="12">
        <v>153</v>
      </c>
      <c r="B154" s="12" t="s">
        <v>350</v>
      </c>
      <c r="C154" s="12">
        <v>7</v>
      </c>
      <c r="D154" s="12">
        <v>5</v>
      </c>
      <c r="E154" s="12"/>
      <c r="F154" s="12"/>
      <c r="G154" s="12"/>
    </row>
    <row r="155" spans="1:7" ht="30" customHeight="1">
      <c r="A155" s="13">
        <v>154</v>
      </c>
      <c r="B155" s="14" t="s">
        <v>351</v>
      </c>
      <c r="C155" s="14">
        <v>10</v>
      </c>
      <c r="D155" s="14">
        <v>10</v>
      </c>
      <c r="E155" s="14"/>
      <c r="F155" s="14"/>
      <c r="G155" s="14"/>
    </row>
    <row r="156" spans="1:7" ht="30" customHeight="1">
      <c r="A156" s="12">
        <v>155</v>
      </c>
      <c r="B156" s="12" t="s">
        <v>352</v>
      </c>
      <c r="C156" s="12">
        <v>6</v>
      </c>
      <c r="D156" s="12">
        <v>6</v>
      </c>
      <c r="E156" s="12"/>
      <c r="F156" s="12"/>
      <c r="G156" s="12"/>
    </row>
    <row r="157" spans="1:7" ht="30" customHeight="1">
      <c r="A157" s="13">
        <v>156</v>
      </c>
      <c r="B157" s="11" t="s">
        <v>353</v>
      </c>
      <c r="C157" s="11">
        <v>7</v>
      </c>
      <c r="D157" s="11">
        <v>3</v>
      </c>
      <c r="E157" s="11"/>
      <c r="F157" s="11"/>
      <c r="G157" s="11"/>
    </row>
    <row r="158" spans="1:7" ht="30" customHeight="1">
      <c r="A158" s="12">
        <v>157</v>
      </c>
      <c r="B158" s="12" t="s">
        <v>175</v>
      </c>
      <c r="C158" s="12">
        <v>4</v>
      </c>
      <c r="D158" s="12">
        <v>4</v>
      </c>
      <c r="E158" s="12"/>
      <c r="F158" s="12"/>
      <c r="G158" s="12"/>
    </row>
    <row r="159" spans="1:7" ht="30" customHeight="1">
      <c r="A159" s="13">
        <v>158</v>
      </c>
      <c r="B159" s="13" t="s">
        <v>177</v>
      </c>
      <c r="C159" s="13">
        <v>4</v>
      </c>
      <c r="D159" s="13">
        <v>4</v>
      </c>
      <c r="E159" s="13"/>
      <c r="F159" s="13"/>
      <c r="G159" s="13"/>
    </row>
    <row r="160" spans="1:7" ht="30" customHeight="1">
      <c r="A160" s="12">
        <v>159</v>
      </c>
      <c r="B160" s="12" t="s">
        <v>354</v>
      </c>
      <c r="C160" s="12">
        <v>8</v>
      </c>
      <c r="D160" s="12">
        <v>8</v>
      </c>
      <c r="E160" s="12"/>
      <c r="F160" s="12"/>
      <c r="G160" s="12"/>
    </row>
    <row r="161" spans="1:7" ht="30" customHeight="1">
      <c r="A161" s="13">
        <v>160</v>
      </c>
      <c r="B161" s="14" t="s">
        <v>355</v>
      </c>
      <c r="C161" s="14">
        <v>6</v>
      </c>
      <c r="D161" s="14">
        <v>3</v>
      </c>
      <c r="E161" s="14"/>
      <c r="F161" s="14"/>
      <c r="G161" s="14"/>
    </row>
    <row r="162" spans="1:7" ht="30" customHeight="1">
      <c r="A162" s="12">
        <v>161</v>
      </c>
      <c r="B162" s="12" t="s">
        <v>356</v>
      </c>
      <c r="C162" s="12">
        <v>4</v>
      </c>
      <c r="D162" s="12">
        <v>4</v>
      </c>
      <c r="E162" s="12"/>
      <c r="F162" s="12"/>
      <c r="G162" s="12"/>
    </row>
    <row r="163" spans="1:7" ht="30" customHeight="1">
      <c r="A163" s="13">
        <v>162</v>
      </c>
      <c r="B163" s="11" t="s">
        <v>357</v>
      </c>
      <c r="C163" s="11">
        <v>4</v>
      </c>
      <c r="D163" s="11">
        <v>4</v>
      </c>
      <c r="E163" s="11"/>
      <c r="F163" s="11"/>
      <c r="G163" s="11"/>
    </row>
    <row r="164" spans="1:7" ht="30" customHeight="1">
      <c r="A164" s="12">
        <v>163</v>
      </c>
      <c r="B164" s="12" t="s">
        <v>358</v>
      </c>
      <c r="C164" s="12">
        <v>4</v>
      </c>
      <c r="D164" s="12">
        <v>4</v>
      </c>
      <c r="E164" s="12"/>
      <c r="F164" s="12"/>
      <c r="G164" s="12"/>
    </row>
    <row r="165" spans="1:7" ht="30" customHeight="1">
      <c r="A165" s="13">
        <v>164</v>
      </c>
      <c r="B165" s="13" t="s">
        <v>360</v>
      </c>
      <c r="C165" s="13">
        <v>4</v>
      </c>
      <c r="D165" s="13">
        <v>4</v>
      </c>
      <c r="E165" s="13"/>
      <c r="F165" s="13"/>
      <c r="G165" s="13"/>
    </row>
    <row r="166" spans="1:7" ht="30" customHeight="1">
      <c r="A166" s="12">
        <v>165</v>
      </c>
      <c r="B166" s="12" t="s">
        <v>361</v>
      </c>
      <c r="C166" s="12">
        <v>8</v>
      </c>
      <c r="D166" s="12">
        <v>3</v>
      </c>
      <c r="E166" s="12"/>
      <c r="F166" s="12"/>
      <c r="G166" s="12"/>
    </row>
    <row r="167" spans="1:7" ht="30" customHeight="1">
      <c r="A167" s="13">
        <v>166</v>
      </c>
      <c r="B167" s="14" t="s">
        <v>362</v>
      </c>
      <c r="C167" s="14">
        <v>5</v>
      </c>
      <c r="D167" s="14">
        <v>5</v>
      </c>
      <c r="E167" s="14"/>
      <c r="F167" s="14"/>
      <c r="G167" s="14"/>
    </row>
    <row r="168" spans="1:7" ht="30" customHeight="1">
      <c r="A168" s="12">
        <v>167</v>
      </c>
      <c r="B168" s="12" t="s">
        <v>364</v>
      </c>
      <c r="C168" s="12">
        <v>7</v>
      </c>
      <c r="D168" s="12">
        <v>7</v>
      </c>
      <c r="E168" s="12"/>
      <c r="F168" s="12"/>
      <c r="G168" s="12"/>
    </row>
    <row r="169" spans="1:7" ht="30" customHeight="1">
      <c r="A169" s="13">
        <v>168</v>
      </c>
      <c r="B169" s="11" t="s">
        <v>365</v>
      </c>
      <c r="C169" s="11">
        <v>6</v>
      </c>
      <c r="D169" s="11">
        <v>6</v>
      </c>
      <c r="E169" s="11"/>
      <c r="F169" s="11"/>
      <c r="G169" s="11"/>
    </row>
    <row r="170" spans="1:7" ht="30" customHeight="1">
      <c r="A170" s="12">
        <v>169</v>
      </c>
      <c r="B170" s="12" t="s">
        <v>366</v>
      </c>
      <c r="C170" s="12">
        <v>10</v>
      </c>
      <c r="D170" s="12">
        <v>10</v>
      </c>
      <c r="E170" s="12"/>
      <c r="F170" s="12"/>
      <c r="G170" s="12"/>
    </row>
    <row r="171" spans="1:7" ht="30" customHeight="1">
      <c r="A171" s="13">
        <v>170</v>
      </c>
      <c r="B171" s="13" t="s">
        <v>367</v>
      </c>
      <c r="C171" s="13">
        <v>10</v>
      </c>
      <c r="D171" s="13">
        <v>10</v>
      </c>
      <c r="E171" s="13"/>
      <c r="F171" s="13"/>
      <c r="G171" s="13"/>
    </row>
    <row r="172" spans="1:7" ht="30" customHeight="1">
      <c r="A172" s="12">
        <v>171</v>
      </c>
      <c r="B172" s="12" t="s">
        <v>75</v>
      </c>
      <c r="C172" s="12">
        <v>6</v>
      </c>
      <c r="D172" s="12">
        <v>6</v>
      </c>
      <c r="E172" s="12"/>
      <c r="F172" s="12"/>
      <c r="G172" s="12"/>
    </row>
    <row r="173" spans="1:7" ht="30" customHeight="1">
      <c r="A173" s="13">
        <v>172</v>
      </c>
      <c r="B173" s="14" t="s">
        <v>368</v>
      </c>
      <c r="C173" s="14">
        <v>11</v>
      </c>
      <c r="D173" s="14">
        <v>11</v>
      </c>
      <c r="E173" s="14"/>
      <c r="F173" s="14"/>
      <c r="G173" s="14"/>
    </row>
    <row r="174" spans="1:7" ht="30" customHeight="1">
      <c r="A174" s="12">
        <v>173</v>
      </c>
      <c r="B174" s="12" t="s">
        <v>560</v>
      </c>
      <c r="C174" s="12">
        <v>6</v>
      </c>
      <c r="D174" s="12">
        <v>6</v>
      </c>
      <c r="E174" s="12"/>
      <c r="F174" s="12"/>
      <c r="G174" s="12"/>
    </row>
    <row r="175" spans="1:7" ht="30" customHeight="1">
      <c r="A175" s="13">
        <v>174</v>
      </c>
      <c r="B175" s="11" t="s">
        <v>370</v>
      </c>
      <c r="C175" s="11">
        <v>10</v>
      </c>
      <c r="D175" s="11">
        <v>10</v>
      </c>
      <c r="E175" s="11"/>
      <c r="F175" s="11"/>
      <c r="G175" s="11"/>
    </row>
    <row r="176" spans="1:7" ht="30" customHeight="1">
      <c r="A176" s="12">
        <v>175</v>
      </c>
      <c r="B176" s="12" t="s">
        <v>371</v>
      </c>
      <c r="C176" s="12">
        <v>4</v>
      </c>
      <c r="D176" s="12">
        <v>4</v>
      </c>
      <c r="E176" s="12"/>
      <c r="F176" s="12"/>
      <c r="G176" s="12"/>
    </row>
    <row r="177" spans="1:7" ht="30" customHeight="1">
      <c r="A177" s="13">
        <v>176</v>
      </c>
      <c r="B177" s="13" t="s">
        <v>372</v>
      </c>
      <c r="C177" s="13">
        <v>12</v>
      </c>
      <c r="D177" s="13">
        <v>11</v>
      </c>
      <c r="E177" s="13"/>
      <c r="F177" s="13"/>
      <c r="G177" s="13"/>
    </row>
    <row r="178" spans="1:7" ht="30" customHeight="1">
      <c r="A178" s="12">
        <v>177</v>
      </c>
      <c r="B178" s="12" t="s">
        <v>373</v>
      </c>
      <c r="C178" s="12">
        <v>4</v>
      </c>
      <c r="D178" s="12">
        <v>4</v>
      </c>
      <c r="E178" s="12"/>
      <c r="F178" s="12"/>
      <c r="G178" s="12"/>
    </row>
    <row r="179" spans="1:7" ht="30" customHeight="1">
      <c r="A179" s="13">
        <v>178</v>
      </c>
      <c r="B179" s="14" t="s">
        <v>374</v>
      </c>
      <c r="C179" s="14">
        <v>8</v>
      </c>
      <c r="D179" s="14">
        <v>8</v>
      </c>
      <c r="E179" s="14"/>
      <c r="F179" s="14"/>
      <c r="G179" s="14"/>
    </row>
    <row r="180" spans="1:7" ht="30" customHeight="1">
      <c r="A180" s="12">
        <v>179</v>
      </c>
      <c r="B180" s="12" t="s">
        <v>375</v>
      </c>
      <c r="C180" s="12">
        <v>7</v>
      </c>
      <c r="D180" s="12">
        <v>7</v>
      </c>
      <c r="E180" s="12"/>
      <c r="F180" s="12"/>
      <c r="G180" s="12"/>
    </row>
    <row r="181" spans="1:7" ht="30" customHeight="1">
      <c r="A181" s="13">
        <v>180</v>
      </c>
      <c r="B181" s="11" t="s">
        <v>376</v>
      </c>
      <c r="C181" s="11">
        <v>6</v>
      </c>
      <c r="D181" s="11">
        <v>6</v>
      </c>
      <c r="E181" s="11"/>
      <c r="F181" s="11"/>
      <c r="G181" s="11"/>
    </row>
    <row r="182" spans="1:7" ht="30" customHeight="1">
      <c r="A182" s="12">
        <v>181</v>
      </c>
      <c r="B182" s="12" t="s">
        <v>377</v>
      </c>
      <c r="C182" s="12">
        <v>5</v>
      </c>
      <c r="D182" s="12">
        <v>3</v>
      </c>
      <c r="E182" s="12"/>
      <c r="F182" s="12"/>
      <c r="G182" s="12"/>
    </row>
    <row r="183" spans="1:7" ht="30" customHeight="1">
      <c r="A183" s="13">
        <v>182</v>
      </c>
      <c r="B183" s="13" t="s">
        <v>378</v>
      </c>
      <c r="C183" s="13">
        <v>4</v>
      </c>
      <c r="D183" s="13">
        <v>4</v>
      </c>
      <c r="E183" s="13"/>
      <c r="F183" s="13"/>
      <c r="G183" s="13"/>
    </row>
    <row r="184" spans="1:7" ht="30" customHeight="1">
      <c r="A184" s="12">
        <v>183</v>
      </c>
      <c r="B184" s="12" t="s">
        <v>379</v>
      </c>
      <c r="C184" s="12">
        <v>6</v>
      </c>
      <c r="D184" s="12">
        <v>6</v>
      </c>
      <c r="E184" s="12"/>
      <c r="F184" s="12"/>
      <c r="G184" s="12"/>
    </row>
    <row r="185" spans="1:7" ht="30" customHeight="1">
      <c r="A185" s="13">
        <v>184</v>
      </c>
      <c r="B185" s="14" t="s">
        <v>381</v>
      </c>
      <c r="C185" s="14">
        <v>5</v>
      </c>
      <c r="D185" s="14">
        <v>2</v>
      </c>
      <c r="E185" s="14"/>
      <c r="F185" s="14"/>
      <c r="G185" s="14"/>
    </row>
    <row r="186" spans="1:7" ht="30" customHeight="1">
      <c r="A186" s="12">
        <v>185</v>
      </c>
      <c r="B186" s="12" t="s">
        <v>382</v>
      </c>
      <c r="C186" s="12">
        <v>6</v>
      </c>
      <c r="D186" s="12">
        <v>0</v>
      </c>
      <c r="E186" s="12"/>
      <c r="F186" s="12"/>
      <c r="G186" s="12"/>
    </row>
    <row r="187" spans="1:7" ht="30" customHeight="1">
      <c r="A187" s="13">
        <v>186</v>
      </c>
      <c r="B187" s="11" t="s">
        <v>383</v>
      </c>
      <c r="C187" s="11">
        <v>5</v>
      </c>
      <c r="D187" s="11">
        <v>5</v>
      </c>
      <c r="E187" s="11"/>
      <c r="F187" s="11"/>
      <c r="G187" s="11"/>
    </row>
    <row r="188" spans="1:7" ht="30" customHeight="1">
      <c r="A188" s="12">
        <v>187</v>
      </c>
      <c r="B188" s="12" t="s">
        <v>385</v>
      </c>
      <c r="C188" s="12">
        <v>5</v>
      </c>
      <c r="D188" s="12">
        <v>5</v>
      </c>
      <c r="E188" s="12"/>
      <c r="F188" s="12"/>
      <c r="G188" s="12"/>
    </row>
    <row r="189" spans="1:7" ht="30" customHeight="1">
      <c r="A189" s="13">
        <v>188</v>
      </c>
      <c r="B189" s="13" t="s">
        <v>387</v>
      </c>
      <c r="C189" s="13">
        <v>6</v>
      </c>
      <c r="D189" s="13">
        <v>6</v>
      </c>
      <c r="E189" s="13"/>
      <c r="F189" s="13"/>
      <c r="G189" s="13"/>
    </row>
    <row r="190" spans="1:7" ht="30" customHeight="1">
      <c r="A190" s="12">
        <v>189</v>
      </c>
      <c r="B190" s="12" t="s">
        <v>388</v>
      </c>
      <c r="C190" s="12">
        <v>6</v>
      </c>
      <c r="D190" s="12">
        <v>1</v>
      </c>
      <c r="E190" s="12"/>
      <c r="F190" s="12"/>
      <c r="G190" s="12"/>
    </row>
    <row r="191" spans="1:7" ht="30" customHeight="1">
      <c r="A191" s="13">
        <v>190</v>
      </c>
      <c r="B191" s="14" t="s">
        <v>389</v>
      </c>
      <c r="C191" s="14">
        <v>5</v>
      </c>
      <c r="D191" s="14">
        <v>5</v>
      </c>
      <c r="E191" s="14"/>
      <c r="F191" s="14"/>
      <c r="G191" s="14"/>
    </row>
    <row r="192" spans="1:7" ht="30" customHeight="1">
      <c r="A192" s="12">
        <v>191</v>
      </c>
      <c r="B192" s="12" t="s">
        <v>390</v>
      </c>
      <c r="C192" s="12">
        <v>1</v>
      </c>
      <c r="D192" s="12">
        <v>1</v>
      </c>
      <c r="E192" s="12"/>
      <c r="F192" s="12"/>
      <c r="G192" s="12"/>
    </row>
    <row r="193" spans="1:7" ht="30" customHeight="1">
      <c r="A193" s="13">
        <v>192</v>
      </c>
      <c r="B193" s="11" t="s">
        <v>391</v>
      </c>
      <c r="C193" s="11">
        <v>7</v>
      </c>
      <c r="D193" s="11">
        <v>3</v>
      </c>
      <c r="E193" s="11"/>
      <c r="F193" s="11"/>
      <c r="G193" s="11"/>
    </row>
    <row r="194" spans="1:7" ht="30" customHeight="1">
      <c r="A194" s="12">
        <v>193</v>
      </c>
      <c r="B194" s="12" t="s">
        <v>392</v>
      </c>
      <c r="C194" s="12">
        <v>4</v>
      </c>
      <c r="D194" s="12">
        <v>3</v>
      </c>
      <c r="E194" s="12"/>
      <c r="F194" s="12"/>
      <c r="G194" s="12"/>
    </row>
    <row r="195" spans="1:7" ht="30" customHeight="1">
      <c r="A195" s="13">
        <v>194</v>
      </c>
      <c r="B195" s="13" t="s">
        <v>217</v>
      </c>
      <c r="C195" s="13">
        <v>5</v>
      </c>
      <c r="D195" s="13">
        <v>5</v>
      </c>
      <c r="E195" s="13"/>
      <c r="F195" s="13"/>
      <c r="G195" s="13"/>
    </row>
    <row r="196" spans="1:7" ht="30" customHeight="1">
      <c r="A196" s="12">
        <v>195</v>
      </c>
      <c r="B196" s="12" t="s">
        <v>393</v>
      </c>
      <c r="C196" s="12">
        <v>7</v>
      </c>
      <c r="D196" s="12">
        <v>5</v>
      </c>
      <c r="E196" s="12"/>
      <c r="F196" s="12"/>
      <c r="G196" s="12"/>
    </row>
    <row r="197" spans="1:7" ht="30" customHeight="1">
      <c r="A197" s="13">
        <v>196</v>
      </c>
      <c r="B197" s="14" t="s">
        <v>395</v>
      </c>
      <c r="C197" s="14">
        <v>5</v>
      </c>
      <c r="D197" s="14">
        <v>2</v>
      </c>
      <c r="E197" s="14"/>
      <c r="F197" s="14"/>
      <c r="G197" s="14"/>
    </row>
    <row r="198" spans="1:7" ht="30" customHeight="1">
      <c r="A198" s="12">
        <v>197</v>
      </c>
      <c r="B198" s="12" t="s">
        <v>396</v>
      </c>
      <c r="C198" s="12">
        <v>8</v>
      </c>
      <c r="D198" s="12">
        <v>5</v>
      </c>
      <c r="E198" s="12"/>
      <c r="F198" s="12"/>
      <c r="G198" s="12"/>
    </row>
    <row r="199" spans="1:7" ht="30" customHeight="1">
      <c r="A199" s="13">
        <v>198</v>
      </c>
      <c r="B199" s="11" t="s">
        <v>397</v>
      </c>
      <c r="C199" s="11">
        <v>1</v>
      </c>
      <c r="D199" s="11">
        <v>1</v>
      </c>
      <c r="E199" s="11"/>
      <c r="F199" s="11"/>
      <c r="G199" s="11"/>
    </row>
    <row r="200" spans="1:7" ht="30" customHeight="1">
      <c r="A200" s="12">
        <v>199</v>
      </c>
      <c r="B200" s="12" t="s">
        <v>399</v>
      </c>
      <c r="C200" s="12">
        <v>5</v>
      </c>
      <c r="D200" s="12">
        <v>5</v>
      </c>
      <c r="E200" s="12"/>
      <c r="F200" s="12"/>
      <c r="G200" s="12"/>
    </row>
    <row r="201" spans="1:7" ht="30" customHeight="1">
      <c r="A201" s="13">
        <v>200</v>
      </c>
      <c r="B201" s="13" t="s">
        <v>400</v>
      </c>
      <c r="C201" s="13">
        <v>64</v>
      </c>
      <c r="D201" s="13">
        <v>64</v>
      </c>
      <c r="E201" s="13"/>
      <c r="F201" s="13"/>
      <c r="G201" s="13"/>
    </row>
    <row r="202" spans="1:7" ht="30" customHeight="1">
      <c r="A202" s="12">
        <v>201</v>
      </c>
      <c r="B202" s="12" t="s">
        <v>401</v>
      </c>
      <c r="C202" s="12">
        <v>3</v>
      </c>
      <c r="D202" s="12">
        <v>3</v>
      </c>
      <c r="E202" s="12"/>
      <c r="F202" s="12"/>
      <c r="G202" s="12"/>
    </row>
    <row r="203" spans="1:7" ht="30" customHeight="1">
      <c r="A203" s="13">
        <v>202</v>
      </c>
      <c r="B203" s="14" t="s">
        <v>137</v>
      </c>
      <c r="C203" s="14">
        <v>4</v>
      </c>
      <c r="D203" s="14">
        <v>4</v>
      </c>
      <c r="E203" s="14"/>
      <c r="F203" s="14"/>
      <c r="G203" s="14"/>
    </row>
    <row r="204" spans="1:7" ht="30" customHeight="1">
      <c r="A204" s="12">
        <v>203</v>
      </c>
      <c r="B204" s="12" t="s">
        <v>403</v>
      </c>
      <c r="C204" s="12" t="s">
        <v>129</v>
      </c>
      <c r="D204" s="12">
        <v>5</v>
      </c>
      <c r="E204" s="12"/>
      <c r="F204" s="12"/>
      <c r="G204" s="12"/>
    </row>
    <row r="205" spans="1:7" ht="30" customHeight="1">
      <c r="A205" s="13">
        <v>204</v>
      </c>
      <c r="B205" s="11" t="s">
        <v>405</v>
      </c>
      <c r="C205" s="11">
        <v>6</v>
      </c>
      <c r="D205" s="11">
        <v>6</v>
      </c>
      <c r="E205" s="11"/>
      <c r="F205" s="11"/>
      <c r="G205" s="11"/>
    </row>
    <row r="206" spans="1:7" ht="30" customHeight="1">
      <c r="A206" s="12">
        <v>205</v>
      </c>
      <c r="B206" s="12" t="s">
        <v>406</v>
      </c>
      <c r="C206" s="12">
        <v>3</v>
      </c>
      <c r="D206" s="12">
        <v>3</v>
      </c>
      <c r="E206" s="12"/>
      <c r="F206" s="12"/>
      <c r="G206" s="12"/>
    </row>
    <row r="207" spans="1:7" ht="30" customHeight="1">
      <c r="A207" s="13">
        <v>206</v>
      </c>
      <c r="B207" s="13" t="s">
        <v>407</v>
      </c>
      <c r="C207" s="13" t="s">
        <v>107</v>
      </c>
      <c r="D207" s="13"/>
      <c r="E207" s="13"/>
      <c r="F207" s="13"/>
      <c r="G207" s="13"/>
    </row>
    <row r="208" spans="1:7" ht="30" customHeight="1">
      <c r="A208" s="12">
        <v>207</v>
      </c>
      <c r="B208" s="12" t="s">
        <v>408</v>
      </c>
      <c r="C208" s="12"/>
      <c r="D208" s="12"/>
      <c r="E208" s="12"/>
      <c r="F208" s="12"/>
      <c r="G208" s="12"/>
    </row>
    <row r="209" spans="1:7" ht="30" customHeight="1">
      <c r="A209" s="13">
        <v>208</v>
      </c>
      <c r="B209" s="14" t="s">
        <v>257</v>
      </c>
      <c r="C209" s="14">
        <v>5</v>
      </c>
      <c r="D209" s="14">
        <v>5</v>
      </c>
      <c r="E209" s="14"/>
      <c r="F209" s="14"/>
      <c r="G209" s="14"/>
    </row>
    <row r="210" spans="1:7" ht="30" customHeight="1">
      <c r="A210" s="12">
        <v>209</v>
      </c>
      <c r="B210" s="12" t="s">
        <v>409</v>
      </c>
      <c r="C210" s="12" t="s">
        <v>410</v>
      </c>
      <c r="D210" s="12" t="s">
        <v>410</v>
      </c>
      <c r="E210" s="12"/>
      <c r="F210" s="12"/>
      <c r="G210" s="12"/>
    </row>
    <row r="211" spans="1:7" ht="30" customHeight="1">
      <c r="A211" s="13">
        <v>210</v>
      </c>
      <c r="B211" s="11" t="s">
        <v>411</v>
      </c>
      <c r="C211" s="11">
        <v>5</v>
      </c>
      <c r="D211" s="11">
        <v>5</v>
      </c>
      <c r="E211" s="11"/>
      <c r="F211" s="11"/>
      <c r="G211" s="11"/>
    </row>
    <row r="212" spans="1:7" ht="30" customHeight="1">
      <c r="A212" s="12">
        <v>211</v>
      </c>
      <c r="B212" s="12" t="s">
        <v>244</v>
      </c>
      <c r="C212" s="12">
        <v>4</v>
      </c>
      <c r="D212" s="12">
        <v>4</v>
      </c>
      <c r="E212" s="12"/>
      <c r="F212" s="12"/>
      <c r="G212" s="12"/>
    </row>
    <row r="213" spans="1:7" ht="30" customHeight="1">
      <c r="A213" s="13">
        <v>212</v>
      </c>
      <c r="B213" s="13" t="s">
        <v>412</v>
      </c>
      <c r="C213" s="13">
        <v>6</v>
      </c>
      <c r="D213" s="13">
        <v>6</v>
      </c>
      <c r="E213" s="13"/>
      <c r="F213" s="13"/>
      <c r="G213" s="13"/>
    </row>
    <row r="214" spans="1:7" ht="30" customHeight="1">
      <c r="A214" s="12">
        <v>213</v>
      </c>
      <c r="B214" s="12" t="s">
        <v>248</v>
      </c>
      <c r="C214" s="12">
        <v>4</v>
      </c>
      <c r="D214" s="12">
        <v>4</v>
      </c>
      <c r="E214" s="12"/>
      <c r="F214" s="12"/>
      <c r="G214" s="12"/>
    </row>
    <row r="215" spans="1:7" ht="30" customHeight="1">
      <c r="A215" s="13">
        <v>214</v>
      </c>
      <c r="B215" s="14" t="s">
        <v>413</v>
      </c>
      <c r="C215" s="14" t="s">
        <v>410</v>
      </c>
      <c r="D215" s="14" t="s">
        <v>410</v>
      </c>
      <c r="E215" s="14"/>
      <c r="F215" s="14"/>
      <c r="G215" s="14"/>
    </row>
    <row r="216" spans="1:7" ht="30" customHeight="1">
      <c r="A216" s="12">
        <v>215</v>
      </c>
      <c r="B216" s="12" t="s">
        <v>260</v>
      </c>
      <c r="C216" s="12">
        <v>8</v>
      </c>
      <c r="D216" s="12">
        <v>8</v>
      </c>
      <c r="E216" s="12"/>
      <c r="F216" s="12"/>
      <c r="G216" s="12"/>
    </row>
    <row r="217" spans="1:7" ht="30" customHeight="1">
      <c r="A217" s="13">
        <v>216</v>
      </c>
      <c r="B217" s="11" t="s">
        <v>414</v>
      </c>
      <c r="C217" s="11">
        <v>8</v>
      </c>
      <c r="D217" s="11">
        <v>8</v>
      </c>
      <c r="E217" s="11"/>
      <c r="F217" s="11"/>
      <c r="G217" s="11"/>
    </row>
    <row r="218" spans="1:7" ht="30" customHeight="1">
      <c r="A218" s="12">
        <v>217</v>
      </c>
      <c r="B218" s="12" t="s">
        <v>415</v>
      </c>
      <c r="C218" s="12">
        <v>17</v>
      </c>
      <c r="D218" s="12">
        <v>17</v>
      </c>
      <c r="E218" s="12"/>
      <c r="F218" s="12"/>
      <c r="G218" s="12"/>
    </row>
    <row r="219" spans="1:7" ht="30" customHeight="1">
      <c r="A219" s="13">
        <v>218</v>
      </c>
      <c r="B219" s="13" t="s">
        <v>255</v>
      </c>
      <c r="C219" s="13">
        <v>3</v>
      </c>
      <c r="D219" s="13">
        <v>3</v>
      </c>
      <c r="E219" s="13"/>
      <c r="F219" s="13"/>
      <c r="G219" s="13"/>
    </row>
    <row r="220" spans="1:7" ht="30" customHeight="1">
      <c r="A220" s="12">
        <v>219</v>
      </c>
      <c r="B220" s="12" t="s">
        <v>416</v>
      </c>
      <c r="C220" s="12" t="s">
        <v>107</v>
      </c>
      <c r="D220" s="12"/>
      <c r="E220" s="12"/>
      <c r="F220" s="12"/>
      <c r="G220" s="12"/>
    </row>
    <row r="221" spans="1:7" ht="30" customHeight="1">
      <c r="A221" s="13">
        <v>220</v>
      </c>
      <c r="B221" s="14" t="s">
        <v>417</v>
      </c>
      <c r="C221" s="14">
        <v>2</v>
      </c>
      <c r="D221" s="14">
        <v>2</v>
      </c>
      <c r="E221" s="14"/>
      <c r="F221" s="14"/>
      <c r="G221" s="14"/>
    </row>
    <row r="222" spans="1:7" ht="30" customHeight="1">
      <c r="A222" s="12">
        <v>221</v>
      </c>
      <c r="B222" s="12" t="s">
        <v>418</v>
      </c>
      <c r="C222" s="12">
        <v>6</v>
      </c>
      <c r="D222" s="12">
        <v>6</v>
      </c>
      <c r="E222" s="12"/>
      <c r="F222" s="12"/>
      <c r="G222" s="12"/>
    </row>
    <row r="223" spans="1:7" ht="30" customHeight="1">
      <c r="A223" s="13">
        <v>222</v>
      </c>
      <c r="B223" s="11" t="s">
        <v>99</v>
      </c>
      <c r="C223" s="11">
        <v>6</v>
      </c>
      <c r="D223" s="11">
        <v>6</v>
      </c>
      <c r="E223" s="11"/>
      <c r="F223" s="11"/>
      <c r="G223" s="11"/>
    </row>
    <row r="224" spans="1:7" ht="30" customHeight="1">
      <c r="A224" s="12">
        <v>223</v>
      </c>
      <c r="B224" s="12" t="s">
        <v>419</v>
      </c>
      <c r="C224" s="12">
        <v>5</v>
      </c>
      <c r="D224" s="12">
        <v>5</v>
      </c>
      <c r="E224" s="12"/>
      <c r="F224" s="12"/>
      <c r="G224" s="12"/>
    </row>
    <row r="225" spans="1:7" ht="30" customHeight="1">
      <c r="A225" s="13">
        <v>224</v>
      </c>
      <c r="B225" s="13" t="s">
        <v>228</v>
      </c>
      <c r="C225" s="13">
        <v>2</v>
      </c>
      <c r="D225" s="13">
        <v>2</v>
      </c>
      <c r="E225" s="13"/>
      <c r="F225" s="13"/>
      <c r="G225" s="13"/>
    </row>
    <row r="226" spans="1:7" ht="30" customHeight="1">
      <c r="A226" s="12">
        <v>225</v>
      </c>
      <c r="B226" s="12" t="s">
        <v>420</v>
      </c>
      <c r="C226" s="12" t="s">
        <v>107</v>
      </c>
      <c r="D226" s="12"/>
      <c r="E226" s="12"/>
      <c r="F226" s="12"/>
      <c r="G226" s="12"/>
    </row>
    <row r="227" spans="1:7" ht="30" customHeight="1">
      <c r="A227" s="13">
        <v>226</v>
      </c>
      <c r="B227" s="14" t="s">
        <v>421</v>
      </c>
      <c r="C227" s="14" t="s">
        <v>107</v>
      </c>
      <c r="D227" s="14"/>
      <c r="E227" s="14"/>
      <c r="F227" s="14"/>
      <c r="G227" s="14"/>
    </row>
    <row r="228" spans="1:7" ht="30" customHeight="1">
      <c r="A228" s="12">
        <v>227</v>
      </c>
      <c r="B228" s="12" t="s">
        <v>422</v>
      </c>
      <c r="C228" s="12">
        <v>2</v>
      </c>
      <c r="D228" s="12">
        <v>2</v>
      </c>
      <c r="E228" s="12"/>
      <c r="F228" s="12"/>
      <c r="G228" s="12"/>
    </row>
    <row r="229" spans="1:7" ht="30" customHeight="1">
      <c r="A229" s="13">
        <v>228</v>
      </c>
      <c r="B229" s="11" t="s">
        <v>60</v>
      </c>
      <c r="C229" s="11">
        <v>2</v>
      </c>
      <c r="D229" s="11">
        <v>2</v>
      </c>
      <c r="E229" s="11"/>
      <c r="F229" s="11"/>
      <c r="G229" s="11"/>
    </row>
    <row r="230" spans="1:7" ht="30" customHeight="1">
      <c r="A230" s="12">
        <v>229</v>
      </c>
      <c r="B230" s="12" t="s">
        <v>423</v>
      </c>
      <c r="C230" s="12" t="s">
        <v>107</v>
      </c>
      <c r="D230" s="12"/>
      <c r="E230" s="12"/>
      <c r="F230" s="12"/>
      <c r="G230" s="12"/>
    </row>
    <row r="231" spans="1:7" ht="30" customHeight="1">
      <c r="A231" s="13">
        <v>230</v>
      </c>
      <c r="B231" s="13" t="s">
        <v>190</v>
      </c>
      <c r="C231" s="13">
        <v>5</v>
      </c>
      <c r="D231" s="13">
        <v>5</v>
      </c>
      <c r="E231" s="13"/>
      <c r="F231" s="13"/>
      <c r="G231" s="13"/>
    </row>
    <row r="232" spans="1:7" ht="30" customHeight="1">
      <c r="A232" s="12">
        <v>231</v>
      </c>
      <c r="B232" s="12" t="s">
        <v>425</v>
      </c>
      <c r="C232" s="12" t="s">
        <v>107</v>
      </c>
      <c r="D232" s="12"/>
      <c r="E232" s="12"/>
      <c r="F232" s="12"/>
      <c r="G232" s="12"/>
    </row>
    <row r="233" spans="1:7" ht="30" customHeight="1">
      <c r="A233" s="13">
        <v>232</v>
      </c>
      <c r="B233" s="14" t="s">
        <v>426</v>
      </c>
      <c r="C233" s="14">
        <v>5</v>
      </c>
      <c r="D233" s="14">
        <v>5</v>
      </c>
      <c r="E233" s="14"/>
      <c r="F233" s="14"/>
      <c r="G233" s="14"/>
    </row>
    <row r="234" spans="1:7" ht="30" customHeight="1">
      <c r="A234" s="12">
        <v>233</v>
      </c>
      <c r="B234" s="12" t="s">
        <v>51</v>
      </c>
      <c r="C234" s="12">
        <v>4</v>
      </c>
      <c r="D234" s="12">
        <v>4</v>
      </c>
      <c r="E234" s="12"/>
      <c r="F234" s="12"/>
      <c r="G234" s="12"/>
    </row>
    <row r="235" spans="1:7" ht="30" customHeight="1">
      <c r="A235" s="13">
        <v>234</v>
      </c>
      <c r="B235" s="11" t="s">
        <v>230</v>
      </c>
      <c r="C235" s="11">
        <v>4</v>
      </c>
      <c r="D235" s="11">
        <v>4</v>
      </c>
      <c r="E235" s="11"/>
      <c r="F235" s="11"/>
      <c r="G235" s="11"/>
    </row>
    <row r="236" spans="1:7" ht="30" customHeight="1">
      <c r="A236" s="12">
        <v>235</v>
      </c>
      <c r="B236" s="12" t="s">
        <v>428</v>
      </c>
      <c r="C236" s="12">
        <v>4</v>
      </c>
      <c r="D236" s="12">
        <v>4</v>
      </c>
      <c r="E236" s="12"/>
      <c r="F236" s="12"/>
      <c r="G236" s="12"/>
    </row>
    <row r="237" spans="1:7" ht="30" customHeight="1">
      <c r="A237" s="13">
        <v>236</v>
      </c>
      <c r="B237" s="13" t="s">
        <v>429</v>
      </c>
      <c r="C237" s="13">
        <v>5</v>
      </c>
      <c r="D237" s="13">
        <v>5</v>
      </c>
      <c r="E237" s="13"/>
      <c r="F237" s="13"/>
      <c r="G237" s="13"/>
    </row>
    <row r="238" spans="1:7" ht="30" customHeight="1">
      <c r="A238" s="12">
        <v>237</v>
      </c>
      <c r="B238" s="12" t="s">
        <v>430</v>
      </c>
      <c r="C238" s="12">
        <v>4</v>
      </c>
      <c r="D238" s="12">
        <v>4</v>
      </c>
      <c r="E238" s="12"/>
      <c r="F238" s="12"/>
      <c r="G238" s="12"/>
    </row>
    <row r="239" spans="1:7" ht="30" customHeight="1">
      <c r="A239" s="13">
        <v>238</v>
      </c>
      <c r="B239" s="14" t="s">
        <v>431</v>
      </c>
      <c r="C239" s="14">
        <v>4</v>
      </c>
      <c r="D239" s="14">
        <v>4</v>
      </c>
      <c r="E239" s="14"/>
      <c r="F239" s="14"/>
      <c r="G239" s="14"/>
    </row>
    <row r="240" spans="1:7" ht="30" customHeight="1">
      <c r="A240" s="12">
        <v>239</v>
      </c>
      <c r="B240" s="12" t="s">
        <v>194</v>
      </c>
      <c r="C240" s="12">
        <v>5</v>
      </c>
      <c r="D240" s="12">
        <v>5</v>
      </c>
      <c r="E240" s="12"/>
      <c r="F240" s="12"/>
      <c r="G240" s="12"/>
    </row>
    <row r="241" spans="1:7" ht="30" customHeight="1">
      <c r="A241" s="13">
        <v>240</v>
      </c>
      <c r="B241" s="11" t="s">
        <v>432</v>
      </c>
      <c r="C241" s="11" t="s">
        <v>107</v>
      </c>
      <c r="D241" s="11" t="s">
        <v>107</v>
      </c>
      <c r="E241" s="11"/>
      <c r="F241" s="11"/>
      <c r="G241" s="11"/>
    </row>
    <row r="242" spans="1:7" ht="30" customHeight="1">
      <c r="A242" s="12">
        <v>241</v>
      </c>
      <c r="B242" s="12" t="s">
        <v>433</v>
      </c>
      <c r="C242" s="12">
        <v>3</v>
      </c>
      <c r="D242" s="12">
        <v>3</v>
      </c>
      <c r="E242" s="12"/>
      <c r="F242" s="12"/>
      <c r="G242" s="12"/>
    </row>
    <row r="243" spans="1:7" ht="30" customHeight="1">
      <c r="A243" s="13">
        <v>242</v>
      </c>
      <c r="B243" s="13" t="s">
        <v>432</v>
      </c>
      <c r="C243" s="13" t="s">
        <v>107</v>
      </c>
      <c r="D243" s="13" t="s">
        <v>107</v>
      </c>
      <c r="E243" s="13"/>
      <c r="F243" s="13"/>
      <c r="G243" s="13"/>
    </row>
    <row r="244" spans="1:7" ht="30" customHeight="1">
      <c r="A244" s="12">
        <v>243</v>
      </c>
      <c r="B244" s="12" t="s">
        <v>184</v>
      </c>
      <c r="C244" s="12">
        <v>12</v>
      </c>
      <c r="D244" s="12">
        <v>1</v>
      </c>
      <c r="E244" s="12"/>
      <c r="F244" s="12"/>
      <c r="G244" s="12"/>
    </row>
    <row r="245" spans="1:7" ht="30" customHeight="1">
      <c r="A245" s="13">
        <v>244</v>
      </c>
      <c r="B245" s="14" t="s">
        <v>434</v>
      </c>
      <c r="C245" s="14">
        <v>4</v>
      </c>
      <c r="D245" s="14">
        <v>4</v>
      </c>
      <c r="E245" s="14"/>
      <c r="F245" s="14"/>
      <c r="G245" s="14"/>
    </row>
    <row r="246" spans="1:7" ht="30" customHeight="1">
      <c r="A246" s="12">
        <v>245</v>
      </c>
      <c r="B246" s="12" t="s">
        <v>435</v>
      </c>
      <c r="C246" s="12">
        <v>4</v>
      </c>
      <c r="D246" s="12">
        <v>4</v>
      </c>
      <c r="E246" s="12"/>
      <c r="F246" s="12"/>
      <c r="G246" s="12"/>
    </row>
    <row r="247" spans="1:7" ht="30" customHeight="1">
      <c r="A247" s="13">
        <v>246</v>
      </c>
      <c r="B247" s="11" t="s">
        <v>39</v>
      </c>
      <c r="C247" s="11">
        <v>5</v>
      </c>
      <c r="D247" s="11">
        <v>5</v>
      </c>
      <c r="E247" s="11"/>
      <c r="F247" s="11"/>
      <c r="G247" s="11"/>
    </row>
    <row r="248" spans="1:7" ht="30" customHeight="1">
      <c r="A248" s="12">
        <v>247</v>
      </c>
      <c r="B248" s="12" t="s">
        <v>436</v>
      </c>
      <c r="C248" s="12" t="s">
        <v>129</v>
      </c>
      <c r="D248" s="12" t="s">
        <v>129</v>
      </c>
      <c r="E248" s="12"/>
      <c r="F248" s="12"/>
      <c r="G248" s="12"/>
    </row>
    <row r="249" spans="1:7" ht="30" customHeight="1">
      <c r="A249" s="13">
        <v>248</v>
      </c>
      <c r="B249" s="13" t="s">
        <v>437</v>
      </c>
      <c r="C249" s="13">
        <v>3</v>
      </c>
      <c r="D249" s="13">
        <v>3</v>
      </c>
      <c r="E249" s="13"/>
      <c r="F249" s="13"/>
      <c r="G249" s="13"/>
    </row>
    <row r="250" spans="1:7" ht="30" customHeight="1">
      <c r="A250" s="12">
        <v>249</v>
      </c>
      <c r="B250" s="12" t="s">
        <v>438</v>
      </c>
      <c r="C250" s="12">
        <v>3</v>
      </c>
      <c r="D250" s="12">
        <v>3</v>
      </c>
      <c r="E250" s="12"/>
      <c r="F250" s="12"/>
      <c r="G250" s="12"/>
    </row>
    <row r="251" spans="1:7" ht="30" customHeight="1">
      <c r="A251" s="13">
        <v>250</v>
      </c>
      <c r="B251" s="14" t="s">
        <v>439</v>
      </c>
      <c r="C251" s="14">
        <v>3</v>
      </c>
      <c r="D251" s="14">
        <v>3</v>
      </c>
      <c r="E251" s="14"/>
      <c r="F251" s="14"/>
      <c r="G251" s="14"/>
    </row>
    <row r="252" spans="1:7" ht="30" customHeight="1">
      <c r="A252" s="12">
        <v>251</v>
      </c>
      <c r="B252" s="12" t="s">
        <v>440</v>
      </c>
      <c r="C252" s="12">
        <v>3</v>
      </c>
      <c r="D252" s="12">
        <v>3</v>
      </c>
      <c r="E252" s="12"/>
      <c r="F252" s="12"/>
      <c r="G252" s="12"/>
    </row>
    <row r="253" spans="1:7" ht="30" customHeight="1">
      <c r="A253" s="13">
        <v>252</v>
      </c>
      <c r="B253" s="11" t="s">
        <v>441</v>
      </c>
      <c r="C253" s="11">
        <v>1</v>
      </c>
      <c r="D253" s="11">
        <v>1</v>
      </c>
      <c r="E253" s="11"/>
      <c r="F253" s="11"/>
      <c r="G253" s="11"/>
    </row>
    <row r="254" spans="1:7" ht="30" customHeight="1">
      <c r="A254" s="12">
        <v>253</v>
      </c>
      <c r="B254" s="12" t="s">
        <v>442</v>
      </c>
      <c r="C254" s="12">
        <v>3</v>
      </c>
      <c r="D254" s="12">
        <v>3</v>
      </c>
      <c r="E254" s="12"/>
      <c r="F254" s="12"/>
      <c r="G254" s="12"/>
    </row>
    <row r="255" spans="1:7" ht="30" customHeight="1">
      <c r="A255" s="13">
        <v>254</v>
      </c>
      <c r="B255" s="13" t="s">
        <v>443</v>
      </c>
      <c r="C255" s="13">
        <v>2</v>
      </c>
      <c r="D255" s="13">
        <v>2</v>
      </c>
      <c r="E255" s="13"/>
      <c r="F255" s="13"/>
      <c r="G255" s="13"/>
    </row>
    <row r="256" spans="1:7" ht="30" customHeight="1">
      <c r="A256" s="12">
        <v>255</v>
      </c>
      <c r="B256" s="12" t="s">
        <v>444</v>
      </c>
      <c r="C256" s="12">
        <v>4</v>
      </c>
      <c r="D256" s="12">
        <v>4</v>
      </c>
      <c r="E256" s="12"/>
      <c r="F256" s="12"/>
      <c r="G256" s="12"/>
    </row>
    <row r="257" spans="1:7" ht="30" customHeight="1">
      <c r="A257" s="13">
        <v>256</v>
      </c>
      <c r="B257" s="14" t="s">
        <v>445</v>
      </c>
      <c r="C257" s="14">
        <v>16</v>
      </c>
      <c r="D257" s="14">
        <v>16</v>
      </c>
      <c r="E257" s="14"/>
      <c r="F257" s="14"/>
      <c r="G257" s="14"/>
    </row>
    <row r="258" spans="1:7" ht="30" customHeight="1">
      <c r="A258" s="12">
        <v>257</v>
      </c>
      <c r="B258" s="12" t="s">
        <v>446</v>
      </c>
      <c r="C258" s="12">
        <v>6</v>
      </c>
      <c r="D258" s="12">
        <v>6</v>
      </c>
      <c r="E258" s="12"/>
      <c r="F258" s="12"/>
      <c r="G258" s="12"/>
    </row>
    <row r="259" spans="1:7" ht="30" customHeight="1">
      <c r="A259" s="13">
        <v>258</v>
      </c>
      <c r="B259" s="11" t="s">
        <v>447</v>
      </c>
      <c r="C259" s="11" t="s">
        <v>107</v>
      </c>
      <c r="D259" s="11" t="s">
        <v>107</v>
      </c>
      <c r="E259" s="11"/>
      <c r="F259" s="11"/>
      <c r="G259" s="11"/>
    </row>
    <row r="260" spans="1:7" ht="30" customHeight="1">
      <c r="A260" s="12">
        <v>259</v>
      </c>
      <c r="B260" s="12" t="s">
        <v>448</v>
      </c>
      <c r="C260" s="12">
        <v>4</v>
      </c>
      <c r="D260" s="12">
        <v>4</v>
      </c>
      <c r="E260" s="12"/>
      <c r="F260" s="12"/>
      <c r="G260" s="12"/>
    </row>
    <row r="261" spans="1:7" ht="30" customHeight="1">
      <c r="A261" s="13">
        <v>260</v>
      </c>
      <c r="B261" s="13" t="s">
        <v>449</v>
      </c>
      <c r="C261" s="13">
        <v>4</v>
      </c>
      <c r="D261" s="13">
        <v>1</v>
      </c>
      <c r="E261" s="13"/>
      <c r="F261" s="13"/>
      <c r="G261" s="13"/>
    </row>
    <row r="262" spans="1:7" ht="30" customHeight="1">
      <c r="A262" s="12">
        <v>261</v>
      </c>
      <c r="B262" s="12" t="s">
        <v>450</v>
      </c>
      <c r="C262" s="12">
        <v>4</v>
      </c>
      <c r="D262" s="12">
        <v>4</v>
      </c>
      <c r="E262" s="12"/>
      <c r="F262" s="12"/>
      <c r="G262" s="12"/>
    </row>
    <row r="263" spans="1:7" ht="30" customHeight="1">
      <c r="A263" s="13">
        <v>262</v>
      </c>
      <c r="B263" s="14" t="s">
        <v>451</v>
      </c>
      <c r="C263" s="14">
        <v>5</v>
      </c>
      <c r="D263" s="14">
        <v>5</v>
      </c>
      <c r="E263" s="14"/>
      <c r="F263" s="14"/>
      <c r="G263" s="14"/>
    </row>
    <row r="264" spans="1:7" ht="30" customHeight="1">
      <c r="A264" s="12">
        <v>263</v>
      </c>
      <c r="B264" s="12" t="s">
        <v>202</v>
      </c>
      <c r="C264" s="12">
        <v>3</v>
      </c>
      <c r="D264" s="12">
        <v>3</v>
      </c>
      <c r="E264" s="12"/>
      <c r="F264" s="12"/>
      <c r="G264" s="12"/>
    </row>
    <row r="265" spans="1:7" ht="30" customHeight="1">
      <c r="A265" s="13">
        <v>264</v>
      </c>
      <c r="B265" s="11" t="s">
        <v>452</v>
      </c>
      <c r="C265" s="11">
        <v>4</v>
      </c>
      <c r="D265" s="11">
        <v>4</v>
      </c>
      <c r="E265" s="11"/>
      <c r="F265" s="11"/>
      <c r="G265" s="11"/>
    </row>
    <row r="266" spans="1:7" ht="30" customHeight="1">
      <c r="A266" s="12">
        <v>265</v>
      </c>
      <c r="B266" s="12" t="s">
        <v>207</v>
      </c>
      <c r="C266" s="12">
        <v>5</v>
      </c>
      <c r="D266" s="12">
        <v>5</v>
      </c>
      <c r="E266" s="12"/>
      <c r="F266" s="12"/>
      <c r="G266" s="12"/>
    </row>
    <row r="267" spans="1:7" ht="30" customHeight="1">
      <c r="A267" s="13">
        <v>266</v>
      </c>
      <c r="B267" s="13" t="s">
        <v>453</v>
      </c>
      <c r="C267" s="13">
        <v>6</v>
      </c>
      <c r="D267" s="13">
        <v>6</v>
      </c>
      <c r="E267" s="13"/>
      <c r="F267" s="13"/>
      <c r="G267" s="13"/>
    </row>
    <row r="268" spans="1:7" ht="30" customHeight="1">
      <c r="A268" s="12">
        <v>267</v>
      </c>
      <c r="B268" s="12" t="s">
        <v>274</v>
      </c>
      <c r="C268" s="12">
        <v>4</v>
      </c>
      <c r="D268" s="12">
        <v>4</v>
      </c>
      <c r="E268" s="12"/>
      <c r="F268" s="12"/>
      <c r="G268" s="12"/>
    </row>
    <row r="269" spans="1:7" ht="30" customHeight="1">
      <c r="A269" s="13">
        <v>268</v>
      </c>
      <c r="B269" s="14" t="s">
        <v>243</v>
      </c>
      <c r="C269" s="14">
        <v>4</v>
      </c>
      <c r="D269" s="14">
        <v>2</v>
      </c>
      <c r="E269" s="14"/>
      <c r="F269" s="14"/>
      <c r="G269" s="14"/>
    </row>
    <row r="270" spans="1:7" ht="30" customHeight="1">
      <c r="A270" s="12">
        <v>269</v>
      </c>
      <c r="B270" s="12" t="s">
        <v>454</v>
      </c>
      <c r="C270" s="12">
        <v>7</v>
      </c>
      <c r="D270" s="12">
        <v>5</v>
      </c>
      <c r="E270" s="12"/>
      <c r="F270" s="12"/>
      <c r="G270" s="12"/>
    </row>
    <row r="271" spans="1:7" ht="30" customHeight="1">
      <c r="A271" s="13">
        <v>270</v>
      </c>
      <c r="B271" s="11" t="s">
        <v>455</v>
      </c>
      <c r="C271" s="11" t="s">
        <v>107</v>
      </c>
      <c r="D271" s="11"/>
      <c r="E271" s="11"/>
      <c r="F271" s="11"/>
      <c r="G271" s="11"/>
    </row>
    <row r="272" spans="1:7" ht="30" customHeight="1">
      <c r="A272" s="12">
        <v>271</v>
      </c>
      <c r="B272" s="12" t="s">
        <v>112</v>
      </c>
      <c r="C272" s="12">
        <v>6</v>
      </c>
      <c r="D272" s="12">
        <v>6</v>
      </c>
      <c r="E272" s="12"/>
      <c r="F272" s="12"/>
      <c r="G272" s="12"/>
    </row>
    <row r="273" spans="1:7" ht="30" customHeight="1">
      <c r="A273" s="13">
        <v>272</v>
      </c>
      <c r="B273" s="13" t="s">
        <v>456</v>
      </c>
      <c r="C273" s="13">
        <v>5</v>
      </c>
      <c r="D273" s="13">
        <v>5</v>
      </c>
      <c r="E273" s="13"/>
      <c r="F273" s="13"/>
      <c r="G273" s="13"/>
    </row>
    <row r="274" spans="1:7" ht="30" customHeight="1">
      <c r="A274" s="12">
        <v>273</v>
      </c>
      <c r="B274" s="12" t="s">
        <v>457</v>
      </c>
      <c r="C274" s="12" t="s">
        <v>107</v>
      </c>
      <c r="D274" s="12"/>
      <c r="E274" s="12"/>
      <c r="F274" s="12"/>
      <c r="G274" s="12"/>
    </row>
    <row r="275" spans="1:7" ht="30" customHeight="1">
      <c r="A275" s="13">
        <v>274</v>
      </c>
      <c r="B275" s="14" t="s">
        <v>458</v>
      </c>
      <c r="C275" s="14">
        <v>5</v>
      </c>
      <c r="D275" s="14">
        <v>3</v>
      </c>
      <c r="E275" s="14"/>
      <c r="F275" s="14"/>
      <c r="G275" s="14"/>
    </row>
    <row r="276" spans="1:7" ht="30" customHeight="1">
      <c r="A276" s="12">
        <v>275</v>
      </c>
      <c r="B276" s="12" t="s">
        <v>117</v>
      </c>
      <c r="C276" s="12">
        <v>5</v>
      </c>
      <c r="D276" s="12">
        <v>5</v>
      </c>
      <c r="E276" s="12"/>
      <c r="F276" s="12"/>
      <c r="G276" s="12"/>
    </row>
    <row r="277" spans="1:7" ht="30" customHeight="1">
      <c r="A277" s="13">
        <v>276</v>
      </c>
      <c r="B277" s="11" t="s">
        <v>459</v>
      </c>
      <c r="C277" s="11" t="s">
        <v>107</v>
      </c>
      <c r="D277" s="11"/>
      <c r="E277" s="11"/>
      <c r="F277" s="11"/>
      <c r="G277" s="11"/>
    </row>
    <row r="278" spans="1:7" ht="30" customHeight="1">
      <c r="A278" s="12">
        <v>277</v>
      </c>
      <c r="B278" s="12" t="s">
        <v>265</v>
      </c>
      <c r="C278" s="12">
        <v>6</v>
      </c>
      <c r="D278" s="12">
        <v>6</v>
      </c>
      <c r="E278" s="12"/>
      <c r="F278" s="12"/>
      <c r="G278" s="12"/>
    </row>
    <row r="279" spans="1:7" ht="30" customHeight="1">
      <c r="A279" s="13">
        <v>278</v>
      </c>
      <c r="B279" s="13" t="s">
        <v>460</v>
      </c>
      <c r="C279" s="13">
        <v>5</v>
      </c>
      <c r="D279" s="13"/>
      <c r="E279" s="13"/>
      <c r="F279" s="13"/>
      <c r="G279" s="13"/>
    </row>
    <row r="280" spans="1:7" ht="30" customHeight="1">
      <c r="A280" s="12">
        <v>279</v>
      </c>
      <c r="B280" s="12" t="s">
        <v>462</v>
      </c>
      <c r="C280" s="12">
        <v>5</v>
      </c>
      <c r="D280" s="12">
        <v>5</v>
      </c>
      <c r="E280" s="12"/>
      <c r="F280" s="12"/>
      <c r="G280" s="12"/>
    </row>
    <row r="281" spans="1:7" ht="30" customHeight="1">
      <c r="A281" s="13">
        <v>280</v>
      </c>
      <c r="B281" s="14" t="s">
        <v>463</v>
      </c>
      <c r="C281" s="14" t="s">
        <v>107</v>
      </c>
      <c r="D281" s="14"/>
      <c r="E281" s="14"/>
      <c r="F281" s="14"/>
      <c r="G281" s="14"/>
    </row>
    <row r="282" spans="1:7" ht="30" customHeight="1">
      <c r="A282" s="12">
        <v>281</v>
      </c>
      <c r="B282" s="12" t="s">
        <v>464</v>
      </c>
      <c r="C282" s="12">
        <v>5</v>
      </c>
      <c r="D282" s="12">
        <v>5</v>
      </c>
      <c r="E282" s="12"/>
      <c r="F282" s="12"/>
      <c r="G282" s="12"/>
    </row>
    <row r="283" spans="1:7" ht="30" customHeight="1">
      <c r="A283" s="13">
        <v>282</v>
      </c>
      <c r="B283" s="11" t="s">
        <v>465</v>
      </c>
      <c r="C283" s="11">
        <v>5</v>
      </c>
      <c r="D283" s="11">
        <v>4</v>
      </c>
      <c r="E283" s="11"/>
      <c r="F283" s="11"/>
      <c r="G283" s="11"/>
    </row>
    <row r="284" spans="1:7" ht="30" customHeight="1">
      <c r="A284" s="12">
        <v>283</v>
      </c>
      <c r="B284" s="12" t="s">
        <v>466</v>
      </c>
      <c r="C284" s="12">
        <v>4</v>
      </c>
      <c r="D284" s="12">
        <v>4</v>
      </c>
      <c r="E284" s="12"/>
      <c r="F284" s="12"/>
      <c r="G284" s="12"/>
    </row>
    <row r="285" spans="1:7" ht="30" customHeight="1">
      <c r="A285" s="13">
        <v>284</v>
      </c>
      <c r="B285" s="13" t="s">
        <v>467</v>
      </c>
      <c r="C285" s="13">
        <v>6</v>
      </c>
      <c r="D285" s="13">
        <v>6</v>
      </c>
      <c r="E285" s="13"/>
      <c r="F285" s="13"/>
      <c r="G285" s="13"/>
    </row>
    <row r="286" spans="1:7" ht="30" customHeight="1">
      <c r="A286" s="12">
        <v>285</v>
      </c>
      <c r="B286" s="12" t="s">
        <v>468</v>
      </c>
      <c r="C286" s="12">
        <v>1</v>
      </c>
      <c r="D286" s="12">
        <v>1</v>
      </c>
      <c r="E286" s="12"/>
      <c r="F286" s="12"/>
      <c r="G286" s="12"/>
    </row>
    <row r="287" spans="1:7" ht="30" customHeight="1">
      <c r="A287" s="13">
        <v>286</v>
      </c>
      <c r="B287" s="14" t="s">
        <v>469</v>
      </c>
      <c r="C287" s="14">
        <v>16</v>
      </c>
      <c r="D287" s="14">
        <v>16</v>
      </c>
      <c r="E287" s="14"/>
      <c r="F287" s="14"/>
      <c r="G287" s="14"/>
    </row>
    <row r="288" spans="1:7" ht="30" customHeight="1">
      <c r="A288" s="12">
        <v>287</v>
      </c>
      <c r="B288" s="12" t="s">
        <v>470</v>
      </c>
      <c r="C288" s="12" t="s">
        <v>129</v>
      </c>
      <c r="D288" s="12" t="s">
        <v>129</v>
      </c>
      <c r="E288" s="12"/>
      <c r="F288" s="12"/>
      <c r="G288" s="12"/>
    </row>
    <row r="289" spans="1:7" ht="30" customHeight="1">
      <c r="A289" s="13">
        <v>288</v>
      </c>
      <c r="B289" s="11" t="s">
        <v>471</v>
      </c>
      <c r="C289" s="11" t="s">
        <v>107</v>
      </c>
      <c r="D289" s="11" t="s">
        <v>107</v>
      </c>
      <c r="E289" s="11"/>
      <c r="F289" s="11"/>
      <c r="G289" s="11"/>
    </row>
    <row r="290" spans="1:7" ht="30" customHeight="1">
      <c r="A290" s="12">
        <v>289</v>
      </c>
      <c r="B290" s="12" t="s">
        <v>472</v>
      </c>
      <c r="C290" s="12">
        <v>6</v>
      </c>
      <c r="D290" s="12">
        <v>6</v>
      </c>
      <c r="E290" s="12"/>
      <c r="F290" s="12"/>
      <c r="G290" s="12"/>
    </row>
    <row r="291" spans="1:7" ht="30" customHeight="1">
      <c r="A291" s="13">
        <v>290</v>
      </c>
      <c r="B291" s="13" t="s">
        <v>473</v>
      </c>
      <c r="C291" s="13" t="s">
        <v>107</v>
      </c>
      <c r="D291" s="13"/>
      <c r="E291" s="13"/>
      <c r="F291" s="13"/>
      <c r="G291" s="13"/>
    </row>
    <row r="292" spans="1:7" ht="30" customHeight="1">
      <c r="A292" s="12">
        <v>291</v>
      </c>
      <c r="B292" s="12" t="s">
        <v>474</v>
      </c>
      <c r="C292" s="12" t="s">
        <v>107</v>
      </c>
      <c r="D292" s="12"/>
      <c r="E292" s="12"/>
      <c r="F292" s="12"/>
      <c r="G292" s="12"/>
    </row>
    <row r="293" spans="1:7" ht="30" customHeight="1">
      <c r="A293" s="13">
        <v>292</v>
      </c>
      <c r="B293" s="14" t="s">
        <v>269</v>
      </c>
      <c r="C293" s="14">
        <v>5</v>
      </c>
      <c r="D293" s="14">
        <v>5</v>
      </c>
      <c r="E293" s="14"/>
      <c r="F293" s="14"/>
      <c r="G293" s="14"/>
    </row>
    <row r="294" spans="1:7" ht="30" customHeight="1">
      <c r="A294" s="12">
        <v>293</v>
      </c>
      <c r="B294" s="12" t="s">
        <v>475</v>
      </c>
      <c r="C294" s="12" t="s">
        <v>107</v>
      </c>
      <c r="D294" s="12"/>
      <c r="E294" s="12"/>
      <c r="F294" s="12"/>
      <c r="G294" s="12"/>
    </row>
    <row r="295" spans="1:7" ht="30" customHeight="1">
      <c r="A295" s="13">
        <v>294</v>
      </c>
      <c r="B295" s="11" t="s">
        <v>263</v>
      </c>
      <c r="C295" s="11">
        <v>8</v>
      </c>
      <c r="D295" s="11">
        <v>8</v>
      </c>
      <c r="E295" s="11"/>
      <c r="F295" s="11"/>
      <c r="G295" s="11"/>
    </row>
    <row r="296" spans="1:7" ht="30" customHeight="1">
      <c r="A296" s="12">
        <v>295</v>
      </c>
      <c r="B296" s="12" t="s">
        <v>221</v>
      </c>
      <c r="C296" s="12">
        <v>3</v>
      </c>
      <c r="D296" s="12">
        <v>3</v>
      </c>
      <c r="E296" s="12"/>
      <c r="F296" s="12"/>
      <c r="G296" s="12"/>
    </row>
    <row r="297" spans="1:7" ht="30" customHeight="1">
      <c r="A297" s="13">
        <v>296</v>
      </c>
      <c r="B297" s="13" t="s">
        <v>476</v>
      </c>
      <c r="C297" s="13" t="s">
        <v>129</v>
      </c>
      <c r="D297" s="13">
        <v>1</v>
      </c>
      <c r="E297" s="13"/>
      <c r="F297" s="13"/>
      <c r="G297" s="13"/>
    </row>
    <row r="298" spans="1:7" ht="30" customHeight="1">
      <c r="A298" s="12">
        <v>297</v>
      </c>
      <c r="B298" s="12" t="s">
        <v>477</v>
      </c>
      <c r="C298" s="12">
        <v>6</v>
      </c>
      <c r="D298" s="12">
        <v>3</v>
      </c>
      <c r="E298" s="12"/>
      <c r="F298" s="12"/>
      <c r="G298" s="12"/>
    </row>
    <row r="299" spans="1:7" ht="30" customHeight="1">
      <c r="A299" s="13">
        <v>298</v>
      </c>
      <c r="B299" s="14" t="s">
        <v>261</v>
      </c>
      <c r="C299" s="14">
        <v>5</v>
      </c>
      <c r="D299" s="14">
        <v>5</v>
      </c>
      <c r="E299" s="14"/>
      <c r="F299" s="14"/>
      <c r="G299" s="14"/>
    </row>
    <row r="300" spans="1:7" ht="30" customHeight="1">
      <c r="A300" s="12">
        <v>299</v>
      </c>
      <c r="B300" s="12" t="s">
        <v>478</v>
      </c>
      <c r="C300" s="12" t="s">
        <v>107</v>
      </c>
      <c r="D300" s="12"/>
      <c r="E300" s="12"/>
      <c r="F300" s="12"/>
      <c r="G300" s="12"/>
    </row>
    <row r="301" spans="1:7" ht="30" customHeight="1">
      <c r="A301" s="13">
        <v>300</v>
      </c>
      <c r="B301" s="11" t="s">
        <v>479</v>
      </c>
      <c r="C301" s="11">
        <v>8</v>
      </c>
      <c r="D301" s="11">
        <v>3</v>
      </c>
      <c r="E301" s="11"/>
      <c r="F301" s="11"/>
      <c r="G301" s="11"/>
    </row>
    <row r="302" spans="1:7" ht="30" customHeight="1">
      <c r="A302" s="12">
        <v>301</v>
      </c>
      <c r="B302" s="12" t="s">
        <v>480</v>
      </c>
      <c r="C302" s="12">
        <v>8</v>
      </c>
      <c r="D302" s="12">
        <v>8</v>
      </c>
      <c r="E302" s="12"/>
      <c r="F302" s="12"/>
      <c r="G302" s="12"/>
    </row>
    <row r="303" spans="1:7" ht="30" customHeight="1">
      <c r="A303" s="13">
        <v>302</v>
      </c>
      <c r="B303" s="13" t="s">
        <v>481</v>
      </c>
      <c r="C303" s="13">
        <v>8</v>
      </c>
      <c r="D303" s="13">
        <v>8</v>
      </c>
      <c r="E303" s="13"/>
      <c r="F303" s="13"/>
      <c r="G303" s="13"/>
    </row>
    <row r="304" spans="1:7" ht="30" customHeight="1">
      <c r="A304" s="12">
        <v>303</v>
      </c>
      <c r="B304" s="12" t="s">
        <v>482</v>
      </c>
      <c r="C304" s="12" t="s">
        <v>107</v>
      </c>
      <c r="D304" s="12"/>
      <c r="E304" s="12"/>
      <c r="F304" s="12"/>
      <c r="G304" s="12"/>
    </row>
    <row r="305" spans="1:7" ht="30" customHeight="1">
      <c r="A305" s="13">
        <v>304</v>
      </c>
      <c r="B305" s="14" t="s">
        <v>483</v>
      </c>
      <c r="C305" s="14">
        <v>5</v>
      </c>
      <c r="D305" s="14">
        <v>5</v>
      </c>
      <c r="E305" s="14"/>
      <c r="F305" s="14"/>
      <c r="G305" s="14"/>
    </row>
    <row r="306" spans="1:7" ht="30" customHeight="1">
      <c r="A306" s="12">
        <v>305</v>
      </c>
      <c r="B306" s="12" t="s">
        <v>484</v>
      </c>
      <c r="C306" s="12">
        <v>5</v>
      </c>
      <c r="D306" s="12">
        <v>5</v>
      </c>
      <c r="E306" s="12"/>
      <c r="F306" s="12"/>
      <c r="G306" s="12"/>
    </row>
    <row r="307" spans="1:7" ht="30" customHeight="1">
      <c r="A307" s="13">
        <v>306</v>
      </c>
      <c r="B307" s="11" t="s">
        <v>485</v>
      </c>
      <c r="C307" s="11">
        <v>4</v>
      </c>
      <c r="D307" s="11">
        <v>4</v>
      </c>
      <c r="E307" s="11"/>
      <c r="F307" s="11"/>
      <c r="G307" s="11"/>
    </row>
    <row r="308" spans="1:7" ht="30" customHeight="1">
      <c r="A308" s="12">
        <v>307</v>
      </c>
      <c r="B308" s="12" t="s">
        <v>273</v>
      </c>
      <c r="C308" s="12">
        <v>7</v>
      </c>
      <c r="D308" s="12">
        <v>7</v>
      </c>
      <c r="E308" s="12"/>
      <c r="F308" s="12"/>
      <c r="G308" s="12"/>
    </row>
    <row r="309" spans="1:7" ht="30" customHeight="1">
      <c r="A309" s="13">
        <v>308</v>
      </c>
      <c r="B309" s="13" t="s">
        <v>486</v>
      </c>
      <c r="C309" s="13">
        <v>5</v>
      </c>
      <c r="D309" s="13">
        <v>5</v>
      </c>
      <c r="E309" s="13"/>
      <c r="F309" s="13"/>
      <c r="G309" s="13"/>
    </row>
    <row r="310" spans="1:7" ht="30" customHeight="1">
      <c r="A310" s="12">
        <v>309</v>
      </c>
      <c r="B310" s="12" t="s">
        <v>487</v>
      </c>
      <c r="C310" s="12" t="s">
        <v>107</v>
      </c>
      <c r="D310" s="12"/>
      <c r="E310" s="12"/>
      <c r="F310" s="12"/>
      <c r="G310" s="12"/>
    </row>
    <row r="311" spans="1:7" ht="30" customHeight="1">
      <c r="A311" s="13">
        <v>310</v>
      </c>
      <c r="B311" s="14" t="s">
        <v>252</v>
      </c>
      <c r="C311" s="14">
        <v>8</v>
      </c>
      <c r="D311" s="14">
        <v>8</v>
      </c>
      <c r="E311" s="14"/>
      <c r="F311" s="14"/>
      <c r="G311" s="14"/>
    </row>
    <row r="312" spans="1:7" ht="30" customHeight="1">
      <c r="A312" s="12">
        <v>311</v>
      </c>
      <c r="B312" s="12" t="s">
        <v>489</v>
      </c>
      <c r="C312" s="12">
        <v>6</v>
      </c>
      <c r="D312" s="12">
        <v>6</v>
      </c>
      <c r="E312" s="12"/>
      <c r="F312" s="12"/>
      <c r="G312" s="12"/>
    </row>
    <row r="313" spans="1:7" ht="30" customHeight="1">
      <c r="A313" s="13">
        <v>312</v>
      </c>
      <c r="B313" s="11" t="s">
        <v>490</v>
      </c>
      <c r="C313" s="11">
        <v>4</v>
      </c>
      <c r="D313" s="11">
        <v>4</v>
      </c>
      <c r="E313" s="11"/>
      <c r="F313" s="11"/>
      <c r="G313" s="11"/>
    </row>
    <row r="314" spans="1:7" ht="30" customHeight="1">
      <c r="A314" s="12">
        <v>313</v>
      </c>
      <c r="B314" s="12" t="s">
        <v>491</v>
      </c>
      <c r="C314" s="12">
        <v>5</v>
      </c>
      <c r="D314" s="12">
        <v>5</v>
      </c>
      <c r="E314" s="12"/>
      <c r="F314" s="12"/>
      <c r="G314" s="12"/>
    </row>
    <row r="315" spans="1:7" ht="30" customHeight="1">
      <c r="A315" s="13">
        <v>314</v>
      </c>
      <c r="B315" s="13" t="s">
        <v>492</v>
      </c>
      <c r="C315" s="13">
        <v>5</v>
      </c>
      <c r="D315" s="13">
        <v>5</v>
      </c>
      <c r="E315" s="13"/>
      <c r="F315" s="13"/>
      <c r="G315" s="13"/>
    </row>
    <row r="316" spans="1:7" ht="30" customHeight="1">
      <c r="A316" s="12">
        <v>315</v>
      </c>
      <c r="B316" s="12" t="s">
        <v>493</v>
      </c>
      <c r="C316" s="12">
        <v>4</v>
      </c>
      <c r="D316" s="12">
        <v>4</v>
      </c>
      <c r="E316" s="12"/>
      <c r="F316" s="12"/>
      <c r="G316" s="12"/>
    </row>
    <row r="317" spans="1:7" ht="30" customHeight="1">
      <c r="A317" s="13">
        <v>316</v>
      </c>
      <c r="B317" s="14" t="s">
        <v>494</v>
      </c>
      <c r="C317" s="14">
        <v>4</v>
      </c>
      <c r="D317" s="14">
        <v>4</v>
      </c>
      <c r="E317" s="14"/>
      <c r="F317" s="14"/>
      <c r="G317" s="14"/>
    </row>
    <row r="318" spans="1:7" ht="30" customHeight="1">
      <c r="A318" s="12">
        <v>317</v>
      </c>
      <c r="B318" s="12" t="s">
        <v>495</v>
      </c>
      <c r="C318" s="12">
        <v>5</v>
      </c>
      <c r="D318" s="12">
        <v>5</v>
      </c>
      <c r="E318" s="12"/>
      <c r="F318" s="12"/>
      <c r="G318" s="12"/>
    </row>
    <row r="319" spans="1:7" ht="30" customHeight="1">
      <c r="A319" s="13">
        <v>318</v>
      </c>
      <c r="B319" s="11" t="s">
        <v>496</v>
      </c>
      <c r="C319" s="11">
        <v>5</v>
      </c>
      <c r="D319" s="11">
        <v>5</v>
      </c>
      <c r="E319" s="11"/>
      <c r="F319" s="11"/>
      <c r="G319" s="11"/>
    </row>
    <row r="320" spans="1:7" ht="30" customHeight="1">
      <c r="A320" s="12">
        <v>319</v>
      </c>
      <c r="B320" s="12" t="s">
        <v>497</v>
      </c>
      <c r="C320" s="12">
        <v>3</v>
      </c>
      <c r="D320" s="12">
        <v>3</v>
      </c>
      <c r="E320" s="12"/>
      <c r="F320" s="12"/>
      <c r="G320" s="12"/>
    </row>
    <row r="321" spans="1:7" ht="30" customHeight="1">
      <c r="A321" s="13">
        <v>320</v>
      </c>
      <c r="B321" s="13" t="s">
        <v>498</v>
      </c>
      <c r="C321" s="13">
        <v>4</v>
      </c>
      <c r="D321" s="13">
        <v>4</v>
      </c>
      <c r="E321" s="13"/>
      <c r="F321" s="13"/>
      <c r="G321" s="13"/>
    </row>
    <row r="322" spans="1:7" ht="30" customHeight="1">
      <c r="A322" s="12">
        <v>321</v>
      </c>
      <c r="B322" s="12" t="s">
        <v>499</v>
      </c>
      <c r="C322" s="12">
        <v>4</v>
      </c>
      <c r="D322" s="12">
        <v>4</v>
      </c>
      <c r="E322" s="12"/>
      <c r="F322" s="12"/>
      <c r="G322" s="12"/>
    </row>
    <row r="323" spans="1:7" ht="30" customHeight="1">
      <c r="A323" s="13">
        <v>322</v>
      </c>
      <c r="B323" s="14" t="s">
        <v>500</v>
      </c>
      <c r="C323" s="14">
        <v>5</v>
      </c>
      <c r="D323" s="14">
        <v>5</v>
      </c>
      <c r="E323" s="14"/>
      <c r="F323" s="14"/>
      <c r="G323" s="14"/>
    </row>
    <row r="324" spans="1:7" ht="30" customHeight="1">
      <c r="A324" s="12">
        <v>323</v>
      </c>
      <c r="B324" s="12" t="s">
        <v>501</v>
      </c>
      <c r="C324" s="12">
        <v>4</v>
      </c>
      <c r="D324" s="12">
        <v>4</v>
      </c>
      <c r="E324" s="12"/>
      <c r="F324" s="12"/>
      <c r="G324" s="12"/>
    </row>
    <row r="325" spans="1:7" ht="30" customHeight="1">
      <c r="A325" s="13">
        <v>324</v>
      </c>
      <c r="B325" s="11" t="s">
        <v>502</v>
      </c>
      <c r="C325" s="11">
        <v>4</v>
      </c>
      <c r="D325" s="11">
        <v>4</v>
      </c>
      <c r="E325" s="11"/>
      <c r="F325" s="11"/>
      <c r="G325" s="11"/>
    </row>
    <row r="326" spans="1:7" ht="30" customHeight="1">
      <c r="A326" s="12">
        <v>325</v>
      </c>
      <c r="B326" s="12" t="s">
        <v>503</v>
      </c>
      <c r="C326" s="12">
        <v>3</v>
      </c>
      <c r="D326" s="12">
        <v>3</v>
      </c>
      <c r="E326" s="12"/>
      <c r="F326" s="12"/>
      <c r="G326" s="12"/>
    </row>
    <row r="327" spans="1:7" ht="30" customHeight="1">
      <c r="A327" s="13">
        <v>326</v>
      </c>
      <c r="B327" s="13" t="s">
        <v>504</v>
      </c>
      <c r="C327" s="13">
        <v>3</v>
      </c>
      <c r="D327" s="13">
        <v>3</v>
      </c>
      <c r="E327" s="13"/>
      <c r="F327" s="13"/>
      <c r="G327" s="13"/>
    </row>
    <row r="328" spans="1:7" ht="30" customHeight="1">
      <c r="A328" s="12">
        <v>327</v>
      </c>
      <c r="B328" s="12" t="s">
        <v>505</v>
      </c>
      <c r="C328" s="12">
        <v>3</v>
      </c>
      <c r="D328" s="12">
        <v>3</v>
      </c>
      <c r="E328" s="12"/>
      <c r="F328" s="12"/>
      <c r="G328" s="12"/>
    </row>
    <row r="329" spans="1:7" ht="30" customHeight="1">
      <c r="A329" s="13">
        <v>328</v>
      </c>
      <c r="B329" s="14" t="s">
        <v>506</v>
      </c>
      <c r="C329" s="14" t="s">
        <v>129</v>
      </c>
      <c r="D329" s="14">
        <v>2</v>
      </c>
      <c r="E329" s="14"/>
      <c r="F329" s="14"/>
      <c r="G329" s="14"/>
    </row>
    <row r="330" spans="1:7" ht="30" customHeight="1">
      <c r="A330" s="12">
        <v>329</v>
      </c>
      <c r="B330" s="12" t="s">
        <v>507</v>
      </c>
      <c r="C330" s="12">
        <v>4</v>
      </c>
      <c r="D330" s="12">
        <v>4</v>
      </c>
      <c r="E330" s="12"/>
      <c r="F330" s="12"/>
      <c r="G330" s="12"/>
    </row>
    <row r="331" spans="1:7" ht="30" customHeight="1">
      <c r="A331" s="13">
        <v>330</v>
      </c>
      <c r="B331" s="11" t="s">
        <v>508</v>
      </c>
      <c r="C331" s="11">
        <v>5</v>
      </c>
      <c r="D331" s="11">
        <v>5</v>
      </c>
      <c r="E331" s="11"/>
      <c r="F331" s="11"/>
      <c r="G331" s="11"/>
    </row>
    <row r="332" spans="1:7" ht="30" customHeight="1">
      <c r="A332" s="12">
        <v>331</v>
      </c>
      <c r="B332" s="12" t="s">
        <v>509</v>
      </c>
      <c r="C332" s="12">
        <v>4</v>
      </c>
      <c r="D332" s="12">
        <v>4</v>
      </c>
      <c r="E332" s="12"/>
      <c r="F332" s="12"/>
      <c r="G332" s="12"/>
    </row>
    <row r="333" spans="1:7" ht="30" customHeight="1">
      <c r="A333" s="13">
        <v>332</v>
      </c>
      <c r="B333" s="13" t="s">
        <v>510</v>
      </c>
      <c r="C333" s="13">
        <v>4</v>
      </c>
      <c r="D333" s="13">
        <v>4</v>
      </c>
      <c r="E333" s="13"/>
      <c r="F333" s="13"/>
      <c r="G333" s="13"/>
    </row>
    <row r="334" spans="1:7" ht="30" customHeight="1">
      <c r="A334" s="12">
        <v>333</v>
      </c>
      <c r="B334" s="12" t="s">
        <v>511</v>
      </c>
      <c r="C334" s="12">
        <v>35</v>
      </c>
      <c r="D334" s="12">
        <v>1</v>
      </c>
      <c r="E334" s="12"/>
      <c r="F334" s="12"/>
      <c r="G334" s="12"/>
    </row>
    <row r="335" spans="1:7" ht="30" customHeight="1">
      <c r="A335" s="13">
        <v>334</v>
      </c>
      <c r="B335" s="14" t="s">
        <v>512</v>
      </c>
      <c r="C335" s="14">
        <v>6</v>
      </c>
      <c r="D335" s="14">
        <v>0</v>
      </c>
      <c r="E335" s="14"/>
      <c r="F335" s="14"/>
      <c r="G335" s="14"/>
    </row>
    <row r="336" spans="1:7" ht="30" customHeight="1">
      <c r="A336" s="12">
        <v>335</v>
      </c>
      <c r="B336" s="12" t="s">
        <v>513</v>
      </c>
      <c r="C336" s="12">
        <v>5</v>
      </c>
      <c r="D336" s="12">
        <v>0</v>
      </c>
      <c r="E336" s="12"/>
      <c r="F336" s="12"/>
      <c r="G336" s="12"/>
    </row>
    <row r="337" spans="1:7" ht="30" customHeight="1">
      <c r="A337" s="13">
        <v>336</v>
      </c>
      <c r="B337" s="11" t="s">
        <v>514</v>
      </c>
      <c r="C337" s="11">
        <v>5</v>
      </c>
      <c r="D337" s="11">
        <v>0</v>
      </c>
      <c r="E337" s="11"/>
      <c r="F337" s="11"/>
      <c r="G337" s="11"/>
    </row>
    <row r="338" spans="1:7" ht="30" customHeight="1">
      <c r="A338" s="12">
        <v>337</v>
      </c>
      <c r="B338" s="12" t="s">
        <v>515</v>
      </c>
      <c r="C338" s="12">
        <v>4</v>
      </c>
      <c r="D338" s="12">
        <v>0</v>
      </c>
      <c r="E338" s="12"/>
      <c r="F338" s="12"/>
      <c r="G338" s="12"/>
    </row>
    <row r="339" spans="1:7" ht="30" customHeight="1">
      <c r="A339" s="13">
        <v>338</v>
      </c>
      <c r="B339" s="13" t="s">
        <v>516</v>
      </c>
      <c r="C339" s="13">
        <v>4</v>
      </c>
      <c r="D339" s="13">
        <v>0</v>
      </c>
      <c r="E339" s="13"/>
      <c r="F339" s="13"/>
      <c r="G339" s="13"/>
    </row>
    <row r="340" spans="1:7" ht="30" customHeight="1">
      <c r="A340" s="12">
        <v>339</v>
      </c>
      <c r="B340" s="12" t="s">
        <v>517</v>
      </c>
      <c r="C340" s="12">
        <v>5</v>
      </c>
      <c r="D340" s="12">
        <v>0</v>
      </c>
      <c r="E340" s="12"/>
      <c r="F340" s="12"/>
      <c r="G340" s="12"/>
    </row>
    <row r="341" spans="1:7" ht="30" customHeight="1">
      <c r="A341" s="13">
        <v>340</v>
      </c>
      <c r="B341" s="14" t="s">
        <v>518</v>
      </c>
      <c r="C341" s="14">
        <v>4</v>
      </c>
      <c r="D341" s="14">
        <v>0</v>
      </c>
      <c r="E341" s="14"/>
      <c r="F341" s="14"/>
      <c r="G341" s="14"/>
    </row>
    <row r="342" spans="1:7" ht="30" customHeight="1">
      <c r="A342" s="12">
        <v>341</v>
      </c>
      <c r="B342" s="12" t="s">
        <v>519</v>
      </c>
      <c r="C342" s="12">
        <v>6</v>
      </c>
      <c r="D342" s="12">
        <v>0</v>
      </c>
      <c r="E342" s="12"/>
      <c r="F342" s="12"/>
      <c r="G342" s="12"/>
    </row>
    <row r="343" spans="1:7" ht="30" customHeight="1">
      <c r="A343" s="13">
        <v>342</v>
      </c>
      <c r="B343" s="11" t="s">
        <v>520</v>
      </c>
      <c r="C343" s="11">
        <v>5</v>
      </c>
      <c r="D343" s="11">
        <v>0</v>
      </c>
      <c r="E343" s="11"/>
      <c r="F343" s="11"/>
      <c r="G343" s="11"/>
    </row>
    <row r="344" spans="1:7" ht="30" customHeight="1">
      <c r="A344" s="12">
        <v>343</v>
      </c>
      <c r="B344" s="12" t="s">
        <v>521</v>
      </c>
      <c r="C344" s="12">
        <v>4</v>
      </c>
      <c r="D344" s="12">
        <v>0</v>
      </c>
      <c r="E344" s="12"/>
      <c r="F344" s="12"/>
      <c r="G344" s="12"/>
    </row>
    <row r="345" spans="1:7" ht="30" customHeight="1">
      <c r="A345" s="13">
        <v>344</v>
      </c>
      <c r="B345" s="13" t="s">
        <v>522</v>
      </c>
      <c r="C345" s="13">
        <v>5</v>
      </c>
      <c r="D345" s="13">
        <v>0</v>
      </c>
      <c r="E345" s="13"/>
      <c r="F345" s="13"/>
      <c r="G345" s="13"/>
    </row>
    <row r="346" spans="1:7" ht="30" customHeight="1">
      <c r="A346" s="12">
        <v>345</v>
      </c>
      <c r="B346" s="12" t="s">
        <v>523</v>
      </c>
      <c r="C346" s="12">
        <v>6</v>
      </c>
      <c r="D346" s="12">
        <v>0</v>
      </c>
      <c r="E346" s="12"/>
      <c r="F346" s="12"/>
      <c r="G346" s="12"/>
    </row>
    <row r="347" spans="1:7" ht="30" customHeight="1">
      <c r="A347" s="13">
        <v>346</v>
      </c>
      <c r="B347" s="14" t="s">
        <v>524</v>
      </c>
      <c r="C347" s="14">
        <v>6</v>
      </c>
      <c r="D347" s="14">
        <v>0</v>
      </c>
      <c r="E347" s="14"/>
      <c r="F347" s="14"/>
      <c r="G347" s="14"/>
    </row>
    <row r="348" spans="1:7" ht="30" customHeight="1">
      <c r="A348" s="12">
        <v>347</v>
      </c>
      <c r="B348" s="12" t="s">
        <v>525</v>
      </c>
      <c r="C348" s="12">
        <v>6</v>
      </c>
      <c r="D348" s="12">
        <v>0</v>
      </c>
      <c r="E348" s="12"/>
      <c r="F348" s="12"/>
      <c r="G348" s="12"/>
    </row>
    <row r="349" spans="1:7" ht="30" customHeight="1">
      <c r="A349" s="13">
        <v>348</v>
      </c>
      <c r="B349" s="11" t="s">
        <v>526</v>
      </c>
      <c r="C349" s="11">
        <v>5</v>
      </c>
      <c r="D349" s="11">
        <v>0</v>
      </c>
      <c r="E349" s="11"/>
      <c r="F349" s="11"/>
      <c r="G349" s="11"/>
    </row>
    <row r="350" spans="1:7" ht="30" customHeight="1">
      <c r="A350" s="12">
        <v>349</v>
      </c>
      <c r="B350" s="12" t="s">
        <v>527</v>
      </c>
      <c r="C350" s="12">
        <v>5</v>
      </c>
      <c r="D350" s="12">
        <v>0</v>
      </c>
      <c r="E350" s="12"/>
      <c r="F350" s="12"/>
      <c r="G350" s="12"/>
    </row>
    <row r="351" spans="1:7" ht="30" customHeight="1">
      <c r="A351" s="13">
        <v>350</v>
      </c>
      <c r="B351" s="13" t="s">
        <v>529</v>
      </c>
      <c r="C351" s="13">
        <v>5</v>
      </c>
      <c r="D351" s="13">
        <v>0</v>
      </c>
      <c r="E351" s="13"/>
      <c r="F351" s="13"/>
      <c r="G351" s="13"/>
    </row>
    <row r="352" spans="1:7" ht="30" customHeight="1">
      <c r="A352" s="12">
        <v>351</v>
      </c>
      <c r="B352" s="12" t="s">
        <v>530</v>
      </c>
      <c r="C352" s="12">
        <v>5</v>
      </c>
      <c r="D352" s="12">
        <v>0</v>
      </c>
      <c r="E352" s="12"/>
      <c r="F352" s="12"/>
      <c r="G352" s="12"/>
    </row>
    <row r="353" spans="1:7" ht="30" customHeight="1">
      <c r="A353" s="13">
        <v>352</v>
      </c>
      <c r="B353" s="14" t="s">
        <v>531</v>
      </c>
      <c r="C353" s="14">
        <v>4</v>
      </c>
      <c r="D353" s="14">
        <v>0</v>
      </c>
      <c r="E353" s="14"/>
      <c r="F353" s="14"/>
      <c r="G353" s="14"/>
    </row>
    <row r="354" spans="1:7" ht="30" customHeight="1">
      <c r="A354" s="12">
        <v>353</v>
      </c>
      <c r="B354" s="12" t="s">
        <v>532</v>
      </c>
      <c r="C354" s="12">
        <v>5</v>
      </c>
      <c r="D354" s="12">
        <v>0</v>
      </c>
      <c r="E354" s="12"/>
      <c r="F354" s="12"/>
      <c r="G354" s="12"/>
    </row>
    <row r="355" spans="1:7" ht="30" customHeight="1">
      <c r="A355" s="13">
        <v>354</v>
      </c>
      <c r="B355" s="11" t="s">
        <v>533</v>
      </c>
      <c r="C355" s="11">
        <v>5</v>
      </c>
      <c r="D355" s="11">
        <v>0</v>
      </c>
      <c r="E355" s="11"/>
      <c r="F355" s="11"/>
      <c r="G355" s="11"/>
    </row>
    <row r="356" spans="1:7" ht="30" customHeight="1">
      <c r="A356" s="12">
        <v>355</v>
      </c>
      <c r="B356" s="12" t="s">
        <v>534</v>
      </c>
      <c r="C356" s="12">
        <v>4</v>
      </c>
      <c r="D356" s="12">
        <v>0</v>
      </c>
      <c r="E356" s="12"/>
      <c r="F356" s="12"/>
      <c r="G356" s="12"/>
    </row>
    <row r="357" spans="1:7" ht="30" customHeight="1">
      <c r="A357" s="13">
        <v>356</v>
      </c>
      <c r="B357" s="13" t="s">
        <v>535</v>
      </c>
      <c r="C357" s="13">
        <v>4</v>
      </c>
      <c r="D357" s="13">
        <v>0</v>
      </c>
      <c r="E357" s="13"/>
      <c r="F357" s="13"/>
      <c r="G357" s="13"/>
    </row>
    <row r="358" spans="1:7" ht="30" customHeight="1">
      <c r="A358" s="12">
        <v>357</v>
      </c>
      <c r="B358" s="12" t="s">
        <v>536</v>
      </c>
      <c r="C358" s="12">
        <v>7</v>
      </c>
      <c r="D358" s="12">
        <v>0</v>
      </c>
      <c r="E358" s="12"/>
      <c r="F358" s="12"/>
      <c r="G358" s="12"/>
    </row>
    <row r="359" spans="1:7" ht="30" customHeight="1">
      <c r="A359" s="13">
        <v>358</v>
      </c>
      <c r="B359" s="14" t="s">
        <v>538</v>
      </c>
      <c r="C359" s="14">
        <v>4</v>
      </c>
      <c r="D359" s="14">
        <v>0</v>
      </c>
      <c r="E359" s="14"/>
      <c r="F359" s="14"/>
      <c r="G359" s="14"/>
    </row>
    <row r="360" spans="1:7" ht="30" customHeight="1">
      <c r="A360" s="12">
        <v>359</v>
      </c>
      <c r="B360" s="12" t="s">
        <v>539</v>
      </c>
      <c r="C360" s="12">
        <v>6</v>
      </c>
      <c r="D360" s="12">
        <v>0</v>
      </c>
      <c r="E360" s="12"/>
      <c r="F360" s="12"/>
      <c r="G360" s="12"/>
    </row>
    <row r="361" spans="1:7" ht="30" customHeight="1">
      <c r="A361" s="13">
        <v>360</v>
      </c>
      <c r="B361" s="11" t="s">
        <v>540</v>
      </c>
      <c r="C361" s="11">
        <v>5</v>
      </c>
      <c r="D361" s="11">
        <v>0</v>
      </c>
      <c r="E361" s="11"/>
      <c r="F361" s="11"/>
      <c r="G361" s="11"/>
    </row>
    <row r="362" spans="1:7" ht="30" customHeight="1">
      <c r="A362" s="12">
        <v>361</v>
      </c>
      <c r="B362" s="12" t="s">
        <v>541</v>
      </c>
      <c r="C362" s="12">
        <v>4</v>
      </c>
      <c r="D362" s="12">
        <v>0</v>
      </c>
      <c r="E362" s="12"/>
      <c r="F362" s="12"/>
      <c r="G362" s="12"/>
    </row>
    <row r="363" spans="1:7" ht="30" customHeight="1">
      <c r="A363" s="13">
        <v>362</v>
      </c>
      <c r="B363" s="13" t="s">
        <v>542</v>
      </c>
      <c r="C363" s="13">
        <v>4</v>
      </c>
      <c r="D363" s="13">
        <v>0</v>
      </c>
      <c r="E363" s="13"/>
      <c r="F363" s="13"/>
      <c r="G363" s="13"/>
    </row>
    <row r="364" spans="1:7" ht="30" customHeight="1">
      <c r="A364" s="12">
        <v>363</v>
      </c>
      <c r="B364" s="12" t="s">
        <v>543</v>
      </c>
      <c r="C364" s="12">
        <v>6</v>
      </c>
      <c r="D364" s="12">
        <v>0</v>
      </c>
      <c r="E364" s="12"/>
      <c r="F364" s="12"/>
      <c r="G364" s="12"/>
    </row>
    <row r="365" spans="1:7" ht="30" customHeight="1">
      <c r="A365" s="13">
        <v>364</v>
      </c>
      <c r="B365" s="14" t="s">
        <v>544</v>
      </c>
      <c r="C365" s="14">
        <v>4</v>
      </c>
      <c r="D365" s="14">
        <v>0</v>
      </c>
      <c r="E365" s="14"/>
      <c r="F365" s="14"/>
      <c r="G365" s="14"/>
    </row>
    <row r="366" spans="1:7" ht="30" customHeight="1">
      <c r="A366" s="12">
        <v>365</v>
      </c>
      <c r="B366" s="12" t="s">
        <v>545</v>
      </c>
      <c r="C366" s="12">
        <v>5</v>
      </c>
      <c r="D366" s="12">
        <v>0</v>
      </c>
      <c r="E366" s="12"/>
      <c r="F366" s="12"/>
      <c r="G366" s="12"/>
    </row>
    <row r="367" spans="1:7" ht="30" customHeight="1">
      <c r="A367" s="13">
        <v>366</v>
      </c>
      <c r="B367" s="11" t="s">
        <v>546</v>
      </c>
      <c r="C367" s="11">
        <v>5</v>
      </c>
      <c r="D367" s="11">
        <v>0</v>
      </c>
      <c r="E367" s="11"/>
      <c r="F367" s="11"/>
      <c r="G367" s="11"/>
    </row>
    <row r="368" spans="1:7" ht="30" customHeight="1">
      <c r="A368" s="12">
        <v>367</v>
      </c>
      <c r="B368" s="12" t="s">
        <v>547</v>
      </c>
      <c r="C368" s="12">
        <v>5</v>
      </c>
      <c r="D368" s="12">
        <v>0</v>
      </c>
      <c r="E368" s="12"/>
      <c r="F368" s="12"/>
      <c r="G368" s="12"/>
    </row>
    <row r="369" spans="1:7" ht="30" customHeight="1">
      <c r="A369" s="13">
        <v>368</v>
      </c>
      <c r="B369" s="13" t="s">
        <v>548</v>
      </c>
      <c r="C369" s="13">
        <v>4</v>
      </c>
      <c r="D369" s="13">
        <v>1</v>
      </c>
      <c r="E369" s="13"/>
      <c r="F369" s="13"/>
      <c r="G369" s="13"/>
    </row>
    <row r="370" spans="1:7">
      <c r="A370" s="12"/>
      <c r="B370" s="12"/>
      <c r="C370" s="12"/>
      <c r="D370" s="12"/>
      <c r="E370" s="12"/>
      <c r="F370" s="12"/>
      <c r="G370" s="12"/>
    </row>
    <row r="371" spans="1:7">
      <c r="A371" s="14"/>
      <c r="B371" s="14"/>
      <c r="C371" s="14"/>
      <c r="D371" s="14"/>
      <c r="E371" s="14"/>
      <c r="F371" s="14"/>
      <c r="G371" s="14"/>
    </row>
    <row r="372" spans="1:7">
      <c r="A372" s="12"/>
      <c r="B372" s="12"/>
      <c r="C372" s="12"/>
      <c r="D372" s="12"/>
      <c r="E372" s="12"/>
      <c r="F372" s="12"/>
      <c r="G372" s="12"/>
    </row>
    <row r="373" spans="1:7">
      <c r="A373" s="11"/>
      <c r="B373" s="11"/>
      <c r="C373" s="11"/>
      <c r="D373" s="11"/>
      <c r="E373" s="11"/>
      <c r="F373" s="11"/>
      <c r="G373" s="11"/>
    </row>
    <row r="374" spans="1:7">
      <c r="A374" s="12"/>
      <c r="B374" s="12"/>
      <c r="C374" s="12"/>
      <c r="D374" s="12"/>
      <c r="E374" s="12"/>
      <c r="F374" s="12"/>
      <c r="G374" s="12"/>
    </row>
    <row r="375" spans="1:7">
      <c r="A375" s="13"/>
      <c r="B375" s="13"/>
      <c r="C375" s="13"/>
      <c r="D375" s="13"/>
      <c r="E375" s="13"/>
      <c r="F375" s="13"/>
      <c r="G375" s="13"/>
    </row>
    <row r="376" spans="1:7">
      <c r="A376" s="12"/>
      <c r="B376" s="12"/>
      <c r="C376" s="12"/>
      <c r="D376" s="12"/>
      <c r="E376" s="12"/>
      <c r="F376" s="12"/>
      <c r="G376" s="12"/>
    </row>
    <row r="377" spans="1:7">
      <c r="A377" s="14"/>
      <c r="B377" s="14"/>
      <c r="C377" s="14"/>
      <c r="D377" s="14"/>
      <c r="E377" s="14"/>
      <c r="F377" s="14"/>
      <c r="G377" s="14"/>
    </row>
    <row r="378" spans="1:7">
      <c r="A378" s="12"/>
      <c r="B378" s="12"/>
      <c r="C378" s="12"/>
      <c r="D378" s="12"/>
      <c r="E378" s="12"/>
      <c r="F378" s="12"/>
      <c r="G378" s="12"/>
    </row>
    <row r="379" spans="1:7">
      <c r="A379" s="11"/>
      <c r="B379" s="11"/>
      <c r="C379" s="11"/>
      <c r="D379" s="11"/>
      <c r="E379" s="11"/>
      <c r="F379" s="11"/>
      <c r="G379" s="11"/>
    </row>
    <row r="380" spans="1:7">
      <c r="A380" s="12"/>
      <c r="B380" s="12"/>
      <c r="C380" s="12"/>
      <c r="D380" s="12"/>
      <c r="E380" s="12"/>
      <c r="F380" s="12"/>
      <c r="G380" s="12"/>
    </row>
    <row r="381" spans="1:7">
      <c r="A381" s="13"/>
      <c r="B381" s="13"/>
      <c r="C381" s="13"/>
      <c r="D381" s="13"/>
      <c r="E381" s="13"/>
      <c r="F381" s="13"/>
      <c r="G381" s="13"/>
    </row>
    <row r="382" spans="1:7">
      <c r="A382" s="12"/>
      <c r="B382" s="12"/>
      <c r="C382" s="12"/>
      <c r="D382" s="12"/>
      <c r="E382" s="12"/>
      <c r="F382" s="12"/>
      <c r="G382" s="12"/>
    </row>
    <row r="383" spans="1:7">
      <c r="A383" s="14"/>
      <c r="B383" s="14"/>
      <c r="C383" s="14"/>
      <c r="D383" s="14"/>
      <c r="E383" s="14"/>
      <c r="F383" s="14"/>
      <c r="G383" s="14"/>
    </row>
    <row r="384" spans="1:7">
      <c r="A384" s="12"/>
      <c r="B384" s="12"/>
      <c r="C384" s="12"/>
      <c r="D384" s="12"/>
      <c r="E384" s="12"/>
      <c r="F384" s="12"/>
      <c r="G384" s="12"/>
    </row>
    <row r="385" spans="1:7">
      <c r="A385" s="11"/>
      <c r="B385" s="11"/>
      <c r="C385" s="11"/>
      <c r="D385" s="11"/>
      <c r="E385" s="11"/>
      <c r="F385" s="11"/>
      <c r="G385" s="11"/>
    </row>
    <row r="386" spans="1:7">
      <c r="A386" s="12"/>
      <c r="B386" s="12"/>
      <c r="C386" s="12"/>
      <c r="D386" s="12"/>
      <c r="E386" s="12"/>
      <c r="F386" s="12"/>
      <c r="G386" s="12"/>
    </row>
    <row r="387" spans="1:7">
      <c r="A387" s="13"/>
      <c r="B387" s="13"/>
      <c r="C387" s="13"/>
      <c r="D387" s="13"/>
      <c r="E387" s="13"/>
      <c r="F387" s="13"/>
      <c r="G387" s="13"/>
    </row>
    <row r="388" spans="1:7">
      <c r="A388" s="12"/>
      <c r="B388" s="12"/>
      <c r="C388" s="12"/>
      <c r="D388" s="12"/>
      <c r="E388" s="12"/>
      <c r="F388" s="12"/>
      <c r="G388" s="12"/>
    </row>
    <row r="389" spans="1:7">
      <c r="A389" s="14"/>
      <c r="B389" s="14"/>
      <c r="C389" s="14"/>
      <c r="D389" s="14"/>
      <c r="E389" s="14"/>
      <c r="F389" s="14"/>
      <c r="G389" s="14"/>
    </row>
    <row r="390" spans="1:7">
      <c r="A390" s="12"/>
      <c r="B390" s="12"/>
      <c r="C390" s="12"/>
      <c r="D390" s="12"/>
      <c r="E390" s="12"/>
      <c r="F390" s="12"/>
      <c r="G390" s="12"/>
    </row>
    <row r="391" spans="1:7">
      <c r="A391" s="11"/>
      <c r="B391" s="11"/>
      <c r="C391" s="11"/>
      <c r="D391" s="11"/>
      <c r="E391" s="11"/>
      <c r="F391" s="11"/>
      <c r="G391" s="11"/>
    </row>
    <row r="392" spans="1:7">
      <c r="A392" s="12"/>
      <c r="B392" s="12"/>
      <c r="C392" s="12"/>
      <c r="D392" s="12"/>
      <c r="E392" s="12"/>
      <c r="F392" s="12"/>
      <c r="G392" s="12"/>
    </row>
    <row r="393" spans="1:7">
      <c r="A393" s="13"/>
      <c r="B393" s="13"/>
      <c r="C393" s="13"/>
      <c r="D393" s="13"/>
      <c r="E393" s="13"/>
      <c r="F393" s="13"/>
      <c r="G393" s="13"/>
    </row>
    <row r="394" spans="1:7">
      <c r="A394" s="12"/>
      <c r="B394" s="12"/>
      <c r="C394" s="12"/>
      <c r="D394" s="12"/>
      <c r="E394" s="12"/>
      <c r="F394" s="12"/>
      <c r="G394" s="12"/>
    </row>
    <row r="395" spans="1:7">
      <c r="A395" s="14"/>
      <c r="B395" s="14"/>
      <c r="C395" s="14"/>
      <c r="D395" s="14"/>
      <c r="E395" s="14"/>
      <c r="F395" s="14"/>
      <c r="G395" s="14"/>
    </row>
    <row r="396" spans="1:7">
      <c r="A396" s="12"/>
      <c r="B396" s="12"/>
      <c r="C396" s="12"/>
      <c r="D396" s="12"/>
      <c r="E396" s="12"/>
      <c r="F396" s="12"/>
      <c r="G396" s="12"/>
    </row>
    <row r="397" spans="1:7">
      <c r="A397" s="11"/>
      <c r="B397" s="11"/>
      <c r="C397" s="11"/>
      <c r="D397" s="11"/>
      <c r="E397" s="11"/>
      <c r="F397" s="11"/>
      <c r="G397" s="11"/>
    </row>
    <row r="398" spans="1:7">
      <c r="A398" s="12"/>
      <c r="B398" s="12"/>
      <c r="C398" s="12"/>
      <c r="D398" s="12"/>
      <c r="E398" s="12"/>
      <c r="F398" s="12"/>
      <c r="G398" s="12"/>
    </row>
    <row r="399" spans="1:7">
      <c r="A399" s="13"/>
      <c r="B399" s="13"/>
      <c r="C399" s="13"/>
      <c r="D399" s="13"/>
      <c r="E399" s="13"/>
      <c r="F399" s="13"/>
      <c r="G399" s="13"/>
    </row>
    <row r="400" spans="1:7">
      <c r="A400" s="12"/>
      <c r="B400" s="12"/>
      <c r="C400" s="12"/>
      <c r="D400" s="12"/>
      <c r="E400" s="12"/>
      <c r="F400" s="12"/>
      <c r="G400" s="12"/>
    </row>
    <row r="401" spans="1:7">
      <c r="A401" s="14"/>
      <c r="B401" s="14"/>
      <c r="C401" s="14"/>
      <c r="D401" s="14"/>
      <c r="E401" s="14"/>
      <c r="F401" s="14"/>
      <c r="G401" s="14"/>
    </row>
    <row r="402" spans="1:7">
      <c r="A402" s="12"/>
      <c r="B402" s="12"/>
      <c r="C402" s="12"/>
      <c r="D402" s="12"/>
      <c r="E402" s="12"/>
      <c r="F402" s="12"/>
      <c r="G402" s="12"/>
    </row>
    <row r="403" spans="1:7">
      <c r="A403" s="11"/>
      <c r="B403" s="11"/>
      <c r="C403" s="11"/>
      <c r="D403" s="11"/>
      <c r="E403" s="11"/>
      <c r="F403" s="11"/>
      <c r="G403" s="11"/>
    </row>
    <row r="404" spans="1:7">
      <c r="A404" s="12"/>
      <c r="B404" s="12"/>
      <c r="C404" s="12"/>
      <c r="D404" s="12"/>
      <c r="E404" s="12"/>
      <c r="F404" s="12"/>
      <c r="G404" s="12"/>
    </row>
    <row r="405" spans="1:7">
      <c r="A405" s="13"/>
      <c r="B405" s="13"/>
      <c r="C405" s="13"/>
      <c r="D405" s="13"/>
      <c r="E405" s="13"/>
      <c r="F405" s="13"/>
      <c r="G405" s="13"/>
    </row>
    <row r="406" spans="1:7">
      <c r="A406" s="12"/>
      <c r="B406" s="12"/>
      <c r="C406" s="12"/>
      <c r="D406" s="12"/>
      <c r="E406" s="12"/>
      <c r="F406" s="12"/>
      <c r="G406" s="12"/>
    </row>
    <row r="407" spans="1:7">
      <c r="A407" s="14"/>
      <c r="B407" s="14"/>
      <c r="C407" s="14"/>
      <c r="D407" s="14"/>
      <c r="E407" s="14"/>
      <c r="F407" s="14"/>
      <c r="G407" s="14"/>
    </row>
    <row r="408" spans="1:7">
      <c r="A408" s="12"/>
      <c r="B408" s="12"/>
      <c r="C408" s="12"/>
      <c r="D408" s="12"/>
      <c r="E408" s="12"/>
      <c r="F408" s="12"/>
      <c r="G408" s="12"/>
    </row>
    <row r="409" spans="1:7">
      <c r="A409" s="11"/>
      <c r="B409" s="11"/>
      <c r="C409" s="11"/>
      <c r="D409" s="11"/>
      <c r="E409" s="11"/>
      <c r="F409" s="11"/>
      <c r="G409" s="11"/>
    </row>
    <row r="410" spans="1:7">
      <c r="A410" s="12"/>
      <c r="B410" s="12"/>
      <c r="C410" s="12"/>
      <c r="D410" s="12"/>
      <c r="E410" s="12"/>
      <c r="F410" s="12"/>
      <c r="G410" s="12"/>
    </row>
    <row r="411" spans="1:7">
      <c r="A411" s="13"/>
      <c r="B411" s="13"/>
      <c r="C411" s="13"/>
      <c r="D411" s="13"/>
      <c r="E411" s="13"/>
      <c r="F411" s="13"/>
      <c r="G411" s="13"/>
    </row>
    <row r="412" spans="1:7">
      <c r="A412" s="12"/>
      <c r="B412" s="12"/>
      <c r="C412" s="12"/>
      <c r="D412" s="12"/>
      <c r="E412" s="12"/>
      <c r="F412" s="12"/>
      <c r="G412" s="12"/>
    </row>
    <row r="413" spans="1:7">
      <c r="A413" s="14"/>
      <c r="B413" s="14"/>
      <c r="C413" s="14"/>
      <c r="D413" s="14"/>
      <c r="E413" s="14"/>
      <c r="F413" s="14"/>
      <c r="G413" s="14"/>
    </row>
    <row r="414" spans="1:7">
      <c r="A414" s="12"/>
      <c r="B414" s="12"/>
      <c r="C414" s="12"/>
      <c r="D414" s="12"/>
      <c r="E414" s="12"/>
      <c r="F414" s="12"/>
      <c r="G414" s="12"/>
    </row>
    <row r="415" spans="1:7">
      <c r="A415" s="11"/>
      <c r="B415" s="11"/>
      <c r="C415" s="11"/>
      <c r="D415" s="11"/>
      <c r="E415" s="11"/>
      <c r="F415" s="11"/>
      <c r="G415" s="11"/>
    </row>
    <row r="416" spans="1:7">
      <c r="A416" s="12"/>
      <c r="B416" s="12"/>
      <c r="C416" s="12"/>
      <c r="D416" s="12"/>
      <c r="E416" s="12"/>
      <c r="F416" s="12"/>
      <c r="G416" s="12"/>
    </row>
    <row r="417" spans="1:7">
      <c r="A417" s="13"/>
      <c r="B417" s="13"/>
      <c r="C417" s="13"/>
      <c r="D417" s="13"/>
      <c r="E417" s="13"/>
      <c r="F417" s="13"/>
      <c r="G417" s="13"/>
    </row>
    <row r="418" spans="1:7">
      <c r="A418" s="12"/>
      <c r="B418" s="12"/>
      <c r="C418" s="12"/>
      <c r="D418" s="12"/>
      <c r="E418" s="12"/>
      <c r="F418" s="12"/>
      <c r="G418" s="12"/>
    </row>
    <row r="419" spans="1:7">
      <c r="A419" s="14"/>
      <c r="B419" s="14"/>
      <c r="C419" s="14"/>
      <c r="D419" s="14"/>
      <c r="E419" s="14"/>
      <c r="F419" s="14"/>
      <c r="G419" s="14"/>
    </row>
    <row r="420" spans="1:7">
      <c r="A420" s="12"/>
      <c r="B420" s="12"/>
      <c r="C420" s="12"/>
      <c r="D420" s="12"/>
      <c r="E420" s="12"/>
      <c r="F420" s="12"/>
      <c r="G420" s="12"/>
    </row>
    <row r="421" spans="1:7">
      <c r="A421" s="11"/>
      <c r="B421" s="11"/>
      <c r="C421" s="11"/>
      <c r="D421" s="11"/>
      <c r="E421" s="11"/>
      <c r="F421" s="11"/>
      <c r="G421" s="11"/>
    </row>
    <row r="422" spans="1:7">
      <c r="A422" s="12"/>
      <c r="B422" s="12"/>
      <c r="C422" s="12"/>
      <c r="D422" s="12"/>
      <c r="E422" s="12"/>
      <c r="F422" s="12"/>
      <c r="G422" s="12"/>
    </row>
    <row r="423" spans="1:7">
      <c r="A423" s="13"/>
      <c r="B423" s="13"/>
      <c r="C423" s="13"/>
      <c r="D423" s="13"/>
      <c r="E423" s="13"/>
      <c r="F423" s="13"/>
      <c r="G423" s="13"/>
    </row>
    <row r="424" spans="1:7">
      <c r="A424" s="12"/>
      <c r="B424" s="12"/>
      <c r="C424" s="12"/>
      <c r="D424" s="12"/>
      <c r="E424" s="12"/>
      <c r="F424" s="12"/>
      <c r="G424" s="12"/>
    </row>
    <row r="425" spans="1:7">
      <c r="A425" s="14"/>
      <c r="B425" s="14"/>
      <c r="C425" s="14"/>
      <c r="D425" s="14"/>
      <c r="E425" s="14"/>
      <c r="F425" s="14"/>
      <c r="G425" s="14"/>
    </row>
    <row r="426" spans="1:7">
      <c r="A426" s="12"/>
      <c r="B426" s="12"/>
      <c r="C426" s="12"/>
      <c r="D426" s="12"/>
      <c r="E426" s="12"/>
      <c r="F426" s="12"/>
      <c r="G426" s="12"/>
    </row>
    <row r="427" spans="1:7">
      <c r="A427" s="11"/>
      <c r="B427" s="11"/>
      <c r="C427" s="11"/>
      <c r="D427" s="11"/>
      <c r="E427" s="11"/>
      <c r="F427" s="11"/>
      <c r="G427" s="11"/>
    </row>
    <row r="428" spans="1:7">
      <c r="A428" s="12"/>
      <c r="B428" s="12"/>
      <c r="C428" s="12"/>
      <c r="D428" s="12"/>
      <c r="E428" s="12"/>
      <c r="F428" s="12"/>
      <c r="G428" s="12"/>
    </row>
    <row r="429" spans="1:7">
      <c r="A429" s="13"/>
      <c r="B429" s="13"/>
      <c r="C429" s="13"/>
      <c r="D429" s="13"/>
      <c r="E429" s="13"/>
      <c r="F429" s="13"/>
      <c r="G429" s="13"/>
    </row>
    <row r="430" spans="1:7">
      <c r="A430" s="12"/>
      <c r="B430" s="12"/>
      <c r="C430" s="12"/>
      <c r="D430" s="12"/>
      <c r="E430" s="12"/>
      <c r="F430" s="12"/>
      <c r="G430" s="12"/>
    </row>
    <row r="431" spans="1:7">
      <c r="A431" s="14"/>
      <c r="B431" s="14"/>
      <c r="C431" s="14"/>
      <c r="D431" s="14"/>
      <c r="E431" s="14"/>
      <c r="F431" s="14"/>
      <c r="G431" s="14"/>
    </row>
    <row r="432" spans="1:7">
      <c r="A432" s="12"/>
      <c r="B432" s="12"/>
      <c r="C432" s="12"/>
      <c r="D432" s="12"/>
      <c r="E432" s="12"/>
      <c r="F432" s="12"/>
      <c r="G432" s="12"/>
    </row>
    <row r="433" spans="1:7">
      <c r="A433" s="11"/>
      <c r="B433" s="11"/>
      <c r="C433" s="11"/>
      <c r="D433" s="11"/>
      <c r="E433" s="11"/>
      <c r="F433" s="11"/>
      <c r="G433" s="11"/>
    </row>
    <row r="434" spans="1:7">
      <c r="A434" s="12"/>
      <c r="B434" s="12"/>
      <c r="C434" s="12"/>
      <c r="D434" s="12"/>
      <c r="E434" s="12"/>
      <c r="F434" s="12"/>
      <c r="G434" s="12"/>
    </row>
    <row r="435" spans="1:7">
      <c r="A435" s="13"/>
      <c r="B435" s="13"/>
      <c r="C435" s="13"/>
      <c r="D435" s="13"/>
      <c r="E435" s="13"/>
      <c r="F435" s="13"/>
      <c r="G435" s="13"/>
    </row>
    <row r="436" spans="1:7">
      <c r="A436" s="12"/>
      <c r="B436" s="12"/>
      <c r="C436" s="12"/>
      <c r="D436" s="12"/>
      <c r="E436" s="12"/>
      <c r="F436" s="12"/>
      <c r="G436" s="12"/>
    </row>
    <row r="437" spans="1:7">
      <c r="A437" s="14"/>
      <c r="B437" s="14"/>
      <c r="C437" s="14"/>
      <c r="D437" s="14"/>
      <c r="E437" s="14"/>
      <c r="F437" s="14"/>
      <c r="G437" s="14"/>
    </row>
    <row r="438" spans="1:7">
      <c r="A438" s="12"/>
      <c r="B438" s="12"/>
      <c r="C438" s="12"/>
      <c r="D438" s="12"/>
      <c r="E438" s="12"/>
      <c r="F438" s="12"/>
      <c r="G438" s="12"/>
    </row>
    <row r="439" spans="1:7">
      <c r="A439" s="11"/>
      <c r="B439" s="11"/>
      <c r="C439" s="11"/>
      <c r="D439" s="11"/>
      <c r="E439" s="11"/>
      <c r="F439" s="11"/>
      <c r="G439" s="11"/>
    </row>
    <row r="440" spans="1:7">
      <c r="A440" s="12"/>
      <c r="B440" s="12"/>
      <c r="C440" s="12"/>
      <c r="D440" s="12"/>
      <c r="E440" s="12"/>
      <c r="F440" s="12"/>
      <c r="G440" s="12"/>
    </row>
    <row r="441" spans="1:7">
      <c r="A441" s="13"/>
      <c r="B441" s="13"/>
      <c r="C441" s="13"/>
      <c r="D441" s="13"/>
      <c r="E441" s="13"/>
      <c r="F441" s="13"/>
      <c r="G441" s="13"/>
    </row>
    <row r="442" spans="1:7">
      <c r="A442" s="12"/>
      <c r="B442" s="12"/>
      <c r="C442" s="12"/>
      <c r="D442" s="12"/>
      <c r="E442" s="12"/>
      <c r="F442" s="12"/>
      <c r="G442" s="12"/>
    </row>
    <row r="443" spans="1:7">
      <c r="A443" s="14"/>
      <c r="B443" s="14"/>
      <c r="C443" s="14"/>
      <c r="D443" s="14"/>
      <c r="E443" s="14"/>
      <c r="F443" s="14"/>
      <c r="G443" s="14"/>
    </row>
    <row r="444" spans="1:7">
      <c r="A444" s="12"/>
      <c r="B444" s="12"/>
      <c r="C444" s="12"/>
      <c r="D444" s="12"/>
      <c r="E444" s="12"/>
      <c r="F444" s="12"/>
      <c r="G444" s="12"/>
    </row>
    <row r="445" spans="1:7">
      <c r="A445" s="11"/>
      <c r="B445" s="11"/>
      <c r="C445" s="11"/>
      <c r="D445" s="11"/>
      <c r="E445" s="11"/>
      <c r="F445" s="11"/>
      <c r="G445" s="11"/>
    </row>
    <row r="446" spans="1:7">
      <c r="A446" s="12"/>
      <c r="B446" s="12"/>
      <c r="C446" s="12"/>
      <c r="D446" s="12"/>
      <c r="E446" s="12"/>
      <c r="F446" s="12"/>
      <c r="G446" s="12"/>
    </row>
    <row r="447" spans="1:7">
      <c r="A447" s="13"/>
      <c r="B447" s="13"/>
      <c r="C447" s="13"/>
      <c r="D447" s="13"/>
      <c r="E447" s="13"/>
      <c r="F447" s="13"/>
      <c r="G447" s="13"/>
    </row>
    <row r="448" spans="1:7">
      <c r="A448" s="12"/>
      <c r="B448" s="12"/>
      <c r="C448" s="12"/>
      <c r="D448" s="12"/>
      <c r="E448" s="12"/>
      <c r="F448" s="12"/>
      <c r="G448" s="12"/>
    </row>
    <row r="449" spans="1:7">
      <c r="A449" s="14"/>
      <c r="B449" s="14"/>
      <c r="C449" s="14"/>
      <c r="D449" s="14"/>
      <c r="E449" s="14"/>
      <c r="F449" s="14"/>
      <c r="G449" s="14"/>
    </row>
    <row r="450" spans="1:7">
      <c r="A450" s="12"/>
      <c r="B450" s="12"/>
      <c r="C450" s="12"/>
      <c r="D450" s="12"/>
      <c r="E450" s="12"/>
      <c r="F450" s="12"/>
      <c r="G450" s="12"/>
    </row>
    <row r="451" spans="1:7">
      <c r="A451" s="11"/>
      <c r="B451" s="11"/>
      <c r="C451" s="11"/>
      <c r="D451" s="11"/>
      <c r="E451" s="11"/>
      <c r="F451" s="11"/>
      <c r="G451" s="11"/>
    </row>
    <row r="452" spans="1:7">
      <c r="A452" s="12"/>
      <c r="B452" s="12"/>
      <c r="C452" s="12"/>
      <c r="D452" s="12"/>
      <c r="E452" s="12"/>
      <c r="F452" s="12"/>
      <c r="G452" s="12"/>
    </row>
    <row r="453" spans="1:7">
      <c r="A453" s="13"/>
      <c r="B453" s="13"/>
      <c r="C453" s="13"/>
      <c r="D453" s="13"/>
      <c r="E453" s="13"/>
      <c r="F453" s="13"/>
      <c r="G453" s="13"/>
    </row>
    <row r="454" spans="1:7">
      <c r="A454" s="12"/>
      <c r="B454" s="12"/>
      <c r="C454" s="12"/>
      <c r="D454" s="12"/>
      <c r="E454" s="12"/>
      <c r="F454" s="12"/>
      <c r="G454" s="12"/>
    </row>
    <row r="455" spans="1:7">
      <c r="A455" s="14"/>
      <c r="B455" s="14"/>
      <c r="C455" s="14"/>
      <c r="D455" s="14"/>
      <c r="E455" s="14"/>
      <c r="F455" s="14"/>
      <c r="G455" s="14"/>
    </row>
    <row r="456" spans="1:7">
      <c r="A456" s="12"/>
      <c r="B456" s="12"/>
      <c r="C456" s="12"/>
      <c r="D456" s="12"/>
      <c r="E456" s="12"/>
      <c r="F456" s="12"/>
      <c r="G456" s="12"/>
    </row>
    <row r="457" spans="1:7">
      <c r="A457" s="11"/>
      <c r="B457" s="11"/>
      <c r="C457" s="11"/>
      <c r="D457" s="11"/>
      <c r="E457" s="11"/>
      <c r="F457" s="11"/>
      <c r="G457" s="11"/>
    </row>
    <row r="458" spans="1:7">
      <c r="A458" s="12"/>
      <c r="B458" s="12"/>
      <c r="C458" s="12"/>
      <c r="D458" s="12"/>
      <c r="E458" s="12"/>
      <c r="F458" s="12"/>
      <c r="G458" s="12"/>
    </row>
    <row r="459" spans="1:7">
      <c r="A459" s="13"/>
      <c r="B459" s="13"/>
      <c r="C459" s="13"/>
      <c r="D459" s="13"/>
      <c r="E459" s="13"/>
      <c r="F459" s="13"/>
      <c r="G459" s="13"/>
    </row>
    <row r="460" spans="1:7">
      <c r="A460" s="12"/>
      <c r="B460" s="12"/>
      <c r="C460" s="12"/>
      <c r="D460" s="12"/>
      <c r="E460" s="12"/>
      <c r="F460" s="12"/>
      <c r="G460" s="12"/>
    </row>
    <row r="461" spans="1:7">
      <c r="A461" s="14"/>
      <c r="B461" s="14"/>
      <c r="C461" s="14"/>
      <c r="D461" s="14"/>
      <c r="E461" s="14"/>
      <c r="F461" s="14"/>
      <c r="G461" s="14"/>
    </row>
    <row r="462" spans="1:7">
      <c r="A462" s="12"/>
      <c r="B462" s="12"/>
      <c r="C462" s="12"/>
      <c r="D462" s="12"/>
      <c r="E462" s="12"/>
      <c r="F462" s="12"/>
      <c r="G462" s="12"/>
    </row>
    <row r="463" spans="1:7">
      <c r="A463" s="11"/>
      <c r="B463" s="11"/>
      <c r="C463" s="11"/>
      <c r="D463" s="11"/>
      <c r="E463" s="11"/>
      <c r="F463" s="11"/>
      <c r="G463" s="11"/>
    </row>
    <row r="464" spans="1:7">
      <c r="A464" s="12"/>
      <c r="B464" s="12"/>
      <c r="C464" s="12"/>
      <c r="D464" s="12"/>
      <c r="E464" s="12"/>
      <c r="F464" s="12"/>
      <c r="G464" s="12"/>
    </row>
    <row r="465" spans="1:7">
      <c r="A465" s="13"/>
      <c r="B465" s="13"/>
      <c r="C465" s="13"/>
      <c r="D465" s="13"/>
      <c r="E465" s="13"/>
      <c r="F465" s="13"/>
      <c r="G465" s="13"/>
    </row>
    <row r="466" spans="1:7">
      <c r="A466" s="12"/>
      <c r="B466" s="12"/>
      <c r="C466" s="12"/>
      <c r="D466" s="12"/>
      <c r="E466" s="12"/>
      <c r="F466" s="12"/>
      <c r="G466" s="12"/>
    </row>
    <row r="467" spans="1:7">
      <c r="A467" s="14"/>
      <c r="B467" s="14"/>
      <c r="C467" s="14"/>
      <c r="D467" s="14"/>
      <c r="E467" s="14"/>
      <c r="F467" s="14"/>
      <c r="G467" s="14"/>
    </row>
    <row r="468" spans="1:7">
      <c r="A468" s="12"/>
      <c r="B468" s="12"/>
      <c r="C468" s="12"/>
      <c r="D468" s="12"/>
      <c r="E468" s="12"/>
      <c r="F468" s="12"/>
      <c r="G468" s="12"/>
    </row>
    <row r="469" spans="1:7">
      <c r="A469" s="11"/>
      <c r="B469" s="11"/>
      <c r="C469" s="11"/>
      <c r="D469" s="11"/>
      <c r="E469" s="11"/>
      <c r="F469" s="11"/>
      <c r="G469" s="11"/>
    </row>
    <row r="470" spans="1:7">
      <c r="A470" s="12"/>
      <c r="B470" s="12"/>
      <c r="C470" s="12"/>
      <c r="D470" s="12"/>
      <c r="E470" s="12"/>
      <c r="F470" s="12"/>
      <c r="G470" s="12"/>
    </row>
    <row r="471" spans="1:7">
      <c r="A471" s="13"/>
      <c r="B471" s="13"/>
      <c r="C471" s="13"/>
      <c r="D471" s="13"/>
      <c r="E471" s="13"/>
      <c r="F471" s="13"/>
      <c r="G471" s="13"/>
    </row>
    <row r="472" spans="1:7">
      <c r="A472" s="12"/>
      <c r="B472" s="12"/>
      <c r="C472" s="12"/>
      <c r="D472" s="12"/>
      <c r="E472" s="12"/>
      <c r="F472" s="12"/>
      <c r="G472" s="12"/>
    </row>
    <row r="473" spans="1:7">
      <c r="A473" s="14"/>
      <c r="B473" s="14"/>
      <c r="C473" s="14"/>
      <c r="D473" s="14"/>
      <c r="E473" s="14"/>
      <c r="F473" s="14"/>
      <c r="G473" s="14"/>
    </row>
    <row r="474" spans="1:7">
      <c r="A474" s="12"/>
      <c r="B474" s="12"/>
      <c r="C474" s="12"/>
      <c r="D474" s="12"/>
      <c r="E474" s="12"/>
      <c r="F474" s="12"/>
      <c r="G474" s="12"/>
    </row>
    <row r="475" spans="1:7">
      <c r="A475" s="11"/>
      <c r="B475" s="11"/>
      <c r="C475" s="11"/>
      <c r="D475" s="11"/>
      <c r="E475" s="11"/>
      <c r="F475" s="11"/>
      <c r="G475" s="11"/>
    </row>
    <row r="476" spans="1:7">
      <c r="A476" s="12"/>
      <c r="B476" s="12"/>
      <c r="C476" s="12"/>
      <c r="D476" s="12"/>
      <c r="E476" s="12"/>
      <c r="F476" s="12"/>
      <c r="G476" s="12"/>
    </row>
    <row r="477" spans="1:7">
      <c r="A477" s="13"/>
      <c r="B477" s="13"/>
      <c r="C477" s="13"/>
      <c r="D477" s="13"/>
      <c r="E477" s="13"/>
      <c r="F477" s="13"/>
      <c r="G477" s="13"/>
    </row>
    <row r="478" spans="1:7">
      <c r="A478" s="12"/>
      <c r="B478" s="12"/>
      <c r="C478" s="12"/>
      <c r="D478" s="12"/>
      <c r="E478" s="12"/>
      <c r="F478" s="12"/>
      <c r="G478" s="12"/>
    </row>
    <row r="479" spans="1:7">
      <c r="A479" s="14"/>
      <c r="B479" s="14"/>
      <c r="C479" s="14"/>
      <c r="D479" s="14"/>
      <c r="E479" s="14"/>
      <c r="F479" s="14"/>
      <c r="G479" s="14"/>
    </row>
    <row r="480" spans="1:7">
      <c r="A480" s="12"/>
      <c r="B480" s="12"/>
      <c r="C480" s="12"/>
      <c r="D480" s="12"/>
      <c r="E480" s="12"/>
      <c r="F480" s="12"/>
      <c r="G480" s="12"/>
    </row>
    <row r="481" spans="1:7">
      <c r="A481" s="11"/>
      <c r="B481" s="11"/>
      <c r="C481" s="11"/>
      <c r="D481" s="11"/>
      <c r="E481" s="11"/>
      <c r="F481" s="11"/>
      <c r="G481" s="11"/>
    </row>
    <row r="482" spans="1:7">
      <c r="A482" s="12"/>
      <c r="B482" s="12"/>
      <c r="C482" s="12"/>
      <c r="D482" s="12"/>
      <c r="E482" s="12"/>
      <c r="F482" s="12"/>
      <c r="G482" s="12"/>
    </row>
    <row r="483" spans="1:7">
      <c r="A483" s="13"/>
      <c r="B483" s="13"/>
      <c r="C483" s="13"/>
      <c r="D483" s="13"/>
      <c r="E483" s="13"/>
      <c r="F483" s="13"/>
      <c r="G483" s="13"/>
    </row>
    <row r="484" spans="1:7">
      <c r="A484" s="12"/>
      <c r="B484" s="12"/>
      <c r="C484" s="12"/>
      <c r="D484" s="12"/>
      <c r="E484" s="12"/>
      <c r="F484" s="12"/>
      <c r="G484" s="12"/>
    </row>
    <row r="485" spans="1:7">
      <c r="A485" s="14"/>
      <c r="B485" s="14"/>
      <c r="C485" s="14"/>
      <c r="D485" s="14"/>
      <c r="E485" s="14"/>
      <c r="F485" s="14"/>
      <c r="G485" s="14"/>
    </row>
    <row r="486" spans="1:7">
      <c r="A486" s="12"/>
      <c r="B486" s="12"/>
      <c r="C486" s="12"/>
      <c r="D486" s="12"/>
      <c r="E486" s="12"/>
      <c r="F486" s="12"/>
      <c r="G486" s="12"/>
    </row>
    <row r="487" spans="1:7">
      <c r="A487" s="11"/>
      <c r="B487" s="11"/>
      <c r="C487" s="11"/>
      <c r="D487" s="11"/>
      <c r="E487" s="11"/>
      <c r="F487" s="11"/>
      <c r="G487" s="11"/>
    </row>
    <row r="488" spans="1:7">
      <c r="A488" s="12"/>
      <c r="B488" s="12"/>
      <c r="C488" s="12"/>
      <c r="D488" s="12"/>
      <c r="E488" s="12"/>
      <c r="F488" s="12"/>
      <c r="G488" s="12"/>
    </row>
    <row r="489" spans="1:7">
      <c r="A489" s="13"/>
      <c r="B489" s="13"/>
      <c r="C489" s="13"/>
      <c r="D489" s="13"/>
      <c r="E489" s="13"/>
      <c r="F489" s="13"/>
      <c r="G489" s="13"/>
    </row>
    <row r="490" spans="1:7">
      <c r="A490" s="12"/>
      <c r="B490" s="12"/>
      <c r="C490" s="12"/>
      <c r="D490" s="12"/>
      <c r="E490" s="12"/>
      <c r="F490" s="12"/>
      <c r="G490" s="12"/>
    </row>
    <row r="491" spans="1:7">
      <c r="A491" s="14"/>
      <c r="B491" s="14"/>
      <c r="C491" s="14"/>
      <c r="D491" s="14"/>
      <c r="E491" s="14"/>
      <c r="F491" s="14"/>
      <c r="G491" s="14"/>
    </row>
    <row r="492" spans="1:7">
      <c r="A492" s="12"/>
      <c r="B492" s="12"/>
      <c r="C492" s="12"/>
      <c r="D492" s="12"/>
      <c r="E492" s="12"/>
      <c r="F492" s="12"/>
      <c r="G492" s="12"/>
    </row>
    <row r="493" spans="1:7">
      <c r="A493" s="11"/>
      <c r="B493" s="11"/>
      <c r="C493" s="11"/>
      <c r="D493" s="11"/>
      <c r="E493" s="11"/>
      <c r="F493" s="11"/>
      <c r="G493" s="11"/>
    </row>
    <row r="494" spans="1:7">
      <c r="A494" s="12"/>
      <c r="B494" s="12"/>
      <c r="C494" s="12"/>
      <c r="D494" s="12"/>
      <c r="E494" s="12"/>
      <c r="F494" s="12"/>
      <c r="G494" s="12"/>
    </row>
    <row r="495" spans="1:7">
      <c r="A495" s="13"/>
      <c r="B495" s="13"/>
      <c r="C495" s="13"/>
      <c r="D495" s="13"/>
      <c r="E495" s="13"/>
      <c r="F495" s="13"/>
      <c r="G495" s="13"/>
    </row>
    <row r="496" spans="1:7">
      <c r="A496" s="12"/>
      <c r="B496" s="12"/>
      <c r="C496" s="12"/>
      <c r="D496" s="12"/>
      <c r="E496" s="12"/>
      <c r="F496" s="12"/>
      <c r="G496" s="12"/>
    </row>
    <row r="497" spans="1:7">
      <c r="A497" s="14"/>
      <c r="B497" s="14"/>
      <c r="C497" s="14"/>
      <c r="D497" s="14"/>
      <c r="E497" s="14"/>
      <c r="F497" s="14"/>
      <c r="G497" s="14"/>
    </row>
    <row r="498" spans="1:7">
      <c r="A498" s="12"/>
      <c r="B498" s="12"/>
      <c r="C498" s="12"/>
      <c r="D498" s="12"/>
      <c r="E498" s="12"/>
      <c r="F498" s="12"/>
      <c r="G498" s="12"/>
    </row>
    <row r="499" spans="1:7">
      <c r="A499" s="11"/>
      <c r="B499" s="11"/>
      <c r="C499" s="11"/>
      <c r="D499" s="11"/>
      <c r="E499" s="11"/>
      <c r="F499" s="11"/>
      <c r="G499" s="11"/>
    </row>
    <row r="500" spans="1:7">
      <c r="A500" s="12"/>
      <c r="B500" s="12"/>
      <c r="C500" s="12"/>
      <c r="D500" s="12"/>
      <c r="E500" s="12"/>
      <c r="F500" s="12"/>
      <c r="G500" s="12"/>
    </row>
    <row r="501" spans="1:7">
      <c r="A501" s="13"/>
      <c r="B501" s="13"/>
      <c r="C501" s="13"/>
      <c r="D501" s="13"/>
      <c r="E501" s="13"/>
      <c r="F501" s="13"/>
      <c r="G501" s="13"/>
    </row>
    <row r="502" spans="1:7">
      <c r="A502" s="12"/>
      <c r="B502" s="12"/>
      <c r="C502" s="12"/>
      <c r="D502" s="12"/>
      <c r="E502" s="12"/>
      <c r="F502" s="12"/>
      <c r="G502" s="12"/>
    </row>
    <row r="503" spans="1:7">
      <c r="A503" s="14"/>
      <c r="B503" s="14"/>
      <c r="C503" s="14"/>
      <c r="D503" s="14"/>
      <c r="E503" s="14"/>
      <c r="F503" s="14"/>
      <c r="G503" s="14"/>
    </row>
    <row r="504" spans="1:7">
      <c r="A504" s="12"/>
      <c r="B504" s="12"/>
      <c r="C504" s="12"/>
      <c r="D504" s="12"/>
      <c r="E504" s="12"/>
      <c r="F504" s="12"/>
      <c r="G504" s="12"/>
    </row>
    <row r="505" spans="1:7">
      <c r="A505" s="11"/>
      <c r="B505" s="11"/>
      <c r="C505" s="11"/>
      <c r="D505" s="11"/>
      <c r="E505" s="11"/>
      <c r="F505" s="11"/>
      <c r="G505" s="11"/>
    </row>
    <row r="506" spans="1:7">
      <c r="A506" s="12"/>
      <c r="B506" s="12"/>
      <c r="C506" s="12"/>
      <c r="D506" s="12"/>
      <c r="E506" s="12"/>
      <c r="F506" s="12"/>
      <c r="G506" s="12"/>
    </row>
    <row r="507" spans="1:7">
      <c r="A507" s="13"/>
      <c r="B507" s="13"/>
      <c r="C507" s="13"/>
      <c r="D507" s="13"/>
      <c r="E507" s="13"/>
      <c r="F507" s="13"/>
      <c r="G507" s="13"/>
    </row>
    <row r="508" spans="1:7">
      <c r="A508" s="12"/>
      <c r="B508" s="12"/>
      <c r="C508" s="12"/>
      <c r="D508" s="12"/>
      <c r="E508" s="12"/>
      <c r="F508" s="12"/>
      <c r="G508" s="12"/>
    </row>
    <row r="509" spans="1:7">
      <c r="A509" s="14"/>
      <c r="B509" s="14"/>
      <c r="C509" s="14"/>
      <c r="D509" s="14"/>
      <c r="E509" s="14"/>
      <c r="F509" s="14"/>
      <c r="G509" s="14"/>
    </row>
    <row r="510" spans="1:7">
      <c r="A510" s="12"/>
      <c r="B510" s="12"/>
      <c r="C510" s="12"/>
      <c r="D510" s="12"/>
      <c r="E510" s="12"/>
      <c r="F510" s="12"/>
      <c r="G510" s="12"/>
    </row>
    <row r="511" spans="1:7">
      <c r="A511" s="11"/>
      <c r="B511" s="11"/>
      <c r="C511" s="11"/>
      <c r="D511" s="11"/>
      <c r="E511" s="11"/>
      <c r="F511" s="11"/>
      <c r="G511" s="11"/>
    </row>
    <row r="512" spans="1:7">
      <c r="A512" s="12"/>
      <c r="B512" s="12"/>
      <c r="C512" s="12"/>
      <c r="D512" s="12"/>
      <c r="E512" s="12"/>
      <c r="F512" s="12"/>
      <c r="G512" s="12"/>
    </row>
    <row r="513" spans="1:7">
      <c r="A513" s="13"/>
      <c r="B513" s="13"/>
      <c r="C513" s="13"/>
      <c r="D513" s="13"/>
      <c r="E513" s="13"/>
      <c r="F513" s="13"/>
      <c r="G513" s="13"/>
    </row>
    <row r="514" spans="1:7">
      <c r="A514" s="12"/>
      <c r="B514" s="12"/>
      <c r="C514" s="12"/>
      <c r="D514" s="12"/>
      <c r="E514" s="12"/>
      <c r="F514" s="12"/>
      <c r="G514" s="12"/>
    </row>
    <row r="515" spans="1:7">
      <c r="A515" s="14"/>
      <c r="B515" s="14"/>
      <c r="C515" s="14"/>
      <c r="D515" s="14"/>
      <c r="E515" s="14"/>
      <c r="F515" s="14"/>
      <c r="G515" s="14"/>
    </row>
    <row r="516" spans="1:7">
      <c r="A516" s="12"/>
      <c r="B516" s="12"/>
      <c r="C516" s="12"/>
      <c r="D516" s="12"/>
      <c r="E516" s="12"/>
      <c r="F516" s="12"/>
      <c r="G516" s="12"/>
    </row>
    <row r="517" spans="1:7">
      <c r="A517" s="11"/>
      <c r="B517" s="11"/>
      <c r="C517" s="11"/>
      <c r="D517" s="11"/>
      <c r="E517" s="11"/>
      <c r="F517" s="11"/>
      <c r="G517" s="11"/>
    </row>
    <row r="518" spans="1:7">
      <c r="A518" s="12"/>
      <c r="B518" s="12"/>
      <c r="C518" s="12"/>
      <c r="D518" s="12"/>
      <c r="E518" s="12"/>
      <c r="F518" s="12"/>
      <c r="G518" s="12"/>
    </row>
    <row r="519" spans="1:7">
      <c r="A519" s="13"/>
      <c r="B519" s="13"/>
      <c r="C519" s="13"/>
      <c r="D519" s="13"/>
      <c r="E519" s="13"/>
      <c r="F519" s="13"/>
      <c r="G519" s="13"/>
    </row>
    <row r="520" spans="1:7">
      <c r="A520" s="12"/>
      <c r="B520" s="12"/>
      <c r="C520" s="12"/>
      <c r="D520" s="12"/>
      <c r="E520" s="12"/>
      <c r="F520" s="12"/>
      <c r="G520" s="12"/>
    </row>
    <row r="521" spans="1:7">
      <c r="A521" s="14"/>
      <c r="B521" s="14"/>
      <c r="C521" s="14"/>
      <c r="D521" s="14"/>
      <c r="E521" s="14"/>
      <c r="F521" s="14"/>
      <c r="G521" s="14"/>
    </row>
    <row r="522" spans="1:7">
      <c r="A522" s="12"/>
      <c r="B522" s="12"/>
      <c r="C522" s="12"/>
      <c r="D522" s="12"/>
      <c r="E522" s="12"/>
      <c r="F522" s="12"/>
      <c r="G522" s="12"/>
    </row>
    <row r="523" spans="1:7">
      <c r="A523" s="11"/>
      <c r="B523" s="11"/>
      <c r="C523" s="11"/>
      <c r="D523" s="11"/>
      <c r="E523" s="11"/>
      <c r="F523" s="11"/>
      <c r="G523" s="11"/>
    </row>
    <row r="524" spans="1:7">
      <c r="A524" s="12"/>
      <c r="B524" s="12"/>
      <c r="C524" s="12"/>
      <c r="D524" s="12"/>
      <c r="E524" s="12"/>
      <c r="F524" s="12"/>
      <c r="G524" s="12"/>
    </row>
    <row r="525" spans="1:7">
      <c r="A525" s="13"/>
      <c r="B525" s="13"/>
      <c r="C525" s="13"/>
      <c r="D525" s="13"/>
      <c r="E525" s="13"/>
      <c r="F525" s="13"/>
      <c r="G525" s="13"/>
    </row>
    <row r="526" spans="1:7">
      <c r="A526" s="12"/>
      <c r="B526" s="12"/>
      <c r="C526" s="12"/>
      <c r="D526" s="12"/>
      <c r="E526" s="12"/>
      <c r="F526" s="12"/>
      <c r="G526" s="12"/>
    </row>
    <row r="527" spans="1:7">
      <c r="A527" s="14"/>
      <c r="B527" s="14"/>
      <c r="C527" s="14"/>
      <c r="D527" s="14"/>
      <c r="E527" s="14"/>
      <c r="F527" s="14"/>
      <c r="G527" s="14"/>
    </row>
    <row r="528" spans="1:7">
      <c r="A528" s="12"/>
      <c r="B528" s="12"/>
      <c r="C528" s="12"/>
      <c r="D528" s="12"/>
      <c r="E528" s="12"/>
      <c r="F528" s="12"/>
      <c r="G528" s="12"/>
    </row>
    <row r="529" spans="1:7">
      <c r="A529" s="11"/>
      <c r="B529" s="11"/>
      <c r="C529" s="11"/>
      <c r="D529" s="11"/>
      <c r="E529" s="11"/>
      <c r="F529" s="11"/>
      <c r="G529" s="11"/>
    </row>
    <row r="530" spans="1:7">
      <c r="A530" s="12"/>
      <c r="B530" s="12"/>
      <c r="C530" s="12"/>
      <c r="D530" s="12"/>
      <c r="E530" s="12"/>
      <c r="F530" s="12"/>
      <c r="G530" s="12"/>
    </row>
    <row r="531" spans="1:7">
      <c r="A531" s="13"/>
      <c r="B531" s="13"/>
      <c r="C531" s="13"/>
      <c r="D531" s="13"/>
      <c r="E531" s="13"/>
      <c r="F531" s="13"/>
      <c r="G531" s="13"/>
    </row>
    <row r="532" spans="1:7">
      <c r="A532" s="12"/>
      <c r="B532" s="12"/>
      <c r="C532" s="12"/>
      <c r="D532" s="12"/>
      <c r="E532" s="12"/>
      <c r="F532" s="12"/>
      <c r="G532" s="12"/>
    </row>
    <row r="533" spans="1:7">
      <c r="A533" s="14"/>
      <c r="B533" s="14"/>
      <c r="C533" s="14"/>
      <c r="D533" s="14"/>
      <c r="E533" s="14"/>
      <c r="F533" s="14"/>
      <c r="G533" s="14"/>
    </row>
    <row r="534" spans="1:7">
      <c r="A534" s="12"/>
      <c r="B534" s="12"/>
      <c r="C534" s="12"/>
      <c r="D534" s="12"/>
      <c r="E534" s="12"/>
      <c r="F534" s="12"/>
      <c r="G534" s="12"/>
    </row>
    <row r="535" spans="1:7">
      <c r="A535" s="11"/>
      <c r="B535" s="11"/>
      <c r="C535" s="11"/>
      <c r="D535" s="11"/>
      <c r="E535" s="11"/>
      <c r="F535" s="11"/>
      <c r="G535" s="11"/>
    </row>
    <row r="536" spans="1:7">
      <c r="A536" s="12"/>
      <c r="B536" s="12"/>
      <c r="C536" s="12"/>
      <c r="D536" s="12"/>
      <c r="E536" s="12"/>
      <c r="F536" s="12"/>
      <c r="G536" s="12"/>
    </row>
    <row r="537" spans="1:7">
      <c r="A537" s="13"/>
      <c r="B537" s="13"/>
      <c r="C537" s="13"/>
      <c r="D537" s="13"/>
      <c r="E537" s="13"/>
      <c r="F537" s="13"/>
      <c r="G537" s="13"/>
    </row>
    <row r="538" spans="1:7">
      <c r="A538" s="12"/>
      <c r="B538" s="12"/>
      <c r="C538" s="12"/>
      <c r="D538" s="12"/>
      <c r="E538" s="12"/>
      <c r="F538" s="12"/>
      <c r="G538" s="12"/>
    </row>
    <row r="539" spans="1:7">
      <c r="A539" s="14"/>
      <c r="B539" s="14"/>
      <c r="C539" s="14"/>
      <c r="D539" s="14"/>
      <c r="E539" s="14"/>
      <c r="F539" s="14"/>
      <c r="G539" s="14"/>
    </row>
    <row r="540" spans="1:7">
      <c r="A540" s="12"/>
      <c r="B540" s="12"/>
      <c r="C540" s="12"/>
      <c r="D540" s="12"/>
      <c r="E540" s="12"/>
      <c r="F540" s="12"/>
      <c r="G540" s="12"/>
    </row>
    <row r="541" spans="1:7">
      <c r="A541" s="11"/>
      <c r="B541" s="11"/>
      <c r="C541" s="11"/>
      <c r="D541" s="11"/>
      <c r="E541" s="11"/>
      <c r="F541" s="11"/>
      <c r="G541" s="11"/>
    </row>
    <row r="542" spans="1:7">
      <c r="A542" s="12"/>
      <c r="B542" s="12"/>
      <c r="C542" s="12"/>
      <c r="D542" s="12"/>
      <c r="E542" s="12"/>
      <c r="F542" s="12"/>
      <c r="G542" s="12"/>
    </row>
    <row r="543" spans="1:7">
      <c r="A543" s="13"/>
      <c r="B543" s="13"/>
      <c r="C543" s="13"/>
      <c r="D543" s="13"/>
      <c r="E543" s="13"/>
      <c r="F543" s="13"/>
      <c r="G543" s="13"/>
    </row>
    <row r="544" spans="1:7">
      <c r="A544" s="12"/>
      <c r="B544" s="12"/>
      <c r="C544" s="12"/>
      <c r="D544" s="12"/>
      <c r="E544" s="12"/>
      <c r="F544" s="12"/>
      <c r="G544" s="12"/>
    </row>
    <row r="545" spans="1:7">
      <c r="A545" s="14"/>
      <c r="B545" s="14"/>
      <c r="C545" s="14"/>
      <c r="D545" s="14"/>
      <c r="E545" s="14"/>
      <c r="F545" s="14"/>
      <c r="G545" s="14"/>
    </row>
    <row r="546" spans="1:7">
      <c r="A546" s="12"/>
      <c r="B546" s="12"/>
      <c r="C546" s="12"/>
      <c r="D546" s="12"/>
      <c r="E546" s="12"/>
      <c r="F546" s="12"/>
      <c r="G546" s="12"/>
    </row>
    <row r="547" spans="1:7">
      <c r="A547" s="11"/>
      <c r="B547" s="11"/>
      <c r="C547" s="11"/>
      <c r="D547" s="11"/>
      <c r="E547" s="11"/>
      <c r="F547" s="11"/>
      <c r="G547" s="11"/>
    </row>
    <row r="548" spans="1:7">
      <c r="A548" s="12"/>
      <c r="B548" s="12"/>
      <c r="C548" s="12"/>
      <c r="D548" s="12"/>
      <c r="E548" s="12"/>
      <c r="F548" s="12"/>
      <c r="G548" s="12"/>
    </row>
    <row r="549" spans="1:7">
      <c r="A549" s="13"/>
      <c r="B549" s="13"/>
      <c r="C549" s="13"/>
      <c r="D549" s="13"/>
      <c r="E549" s="13"/>
      <c r="F549" s="13"/>
      <c r="G549" s="13"/>
    </row>
    <row r="550" spans="1:7">
      <c r="A550" s="12"/>
      <c r="B550" s="12"/>
      <c r="C550" s="12"/>
      <c r="D550" s="12"/>
      <c r="E550" s="12"/>
      <c r="F550" s="12"/>
      <c r="G550" s="12"/>
    </row>
    <row r="551" spans="1:7">
      <c r="A551" s="14"/>
      <c r="B551" s="14"/>
      <c r="C551" s="14"/>
      <c r="D551" s="14"/>
      <c r="E551" s="14"/>
      <c r="F551" s="14"/>
      <c r="G551" s="14"/>
    </row>
    <row r="552" spans="1:7">
      <c r="B552" s="15"/>
    </row>
    <row r="553" spans="1:7">
      <c r="B553" s="15"/>
    </row>
    <row r="554" spans="1:7">
      <c r="B554" s="15"/>
    </row>
    <row r="555" spans="1:7">
      <c r="B555" s="15"/>
    </row>
    <row r="556" spans="1:7">
      <c r="B556" s="15"/>
    </row>
    <row r="557" spans="1:7">
      <c r="B557" s="15"/>
    </row>
    <row r="558" spans="1:7">
      <c r="B558" s="15"/>
    </row>
    <row r="559" spans="1:7">
      <c r="B559" s="15"/>
    </row>
    <row r="560" spans="1:7">
      <c r="B560" s="15"/>
    </row>
    <row r="561" spans="2:2">
      <c r="B561" s="15"/>
    </row>
    <row r="562" spans="2:2">
      <c r="B562" s="15"/>
    </row>
    <row r="563" spans="2:2">
      <c r="B563" s="15"/>
    </row>
    <row r="564" spans="2:2">
      <c r="B564" s="15"/>
    </row>
    <row r="565" spans="2:2">
      <c r="B565" s="15"/>
    </row>
    <row r="566" spans="2:2">
      <c r="B566" s="15"/>
    </row>
    <row r="567" spans="2:2">
      <c r="B567" s="15"/>
    </row>
    <row r="568" spans="2:2">
      <c r="B568" s="15"/>
    </row>
    <row r="569" spans="2:2">
      <c r="B569" s="15"/>
    </row>
    <row r="570" spans="2:2">
      <c r="B570" s="15"/>
    </row>
    <row r="571" spans="2:2">
      <c r="B571" s="15"/>
    </row>
    <row r="572" spans="2:2">
      <c r="B572" s="15"/>
    </row>
    <row r="573" spans="2:2">
      <c r="B573" s="15"/>
    </row>
    <row r="574" spans="2:2">
      <c r="B574" s="15"/>
    </row>
    <row r="575" spans="2:2">
      <c r="B575" s="15"/>
    </row>
    <row r="576" spans="2:2">
      <c r="B576" s="15"/>
    </row>
    <row r="577" spans="2:2">
      <c r="B577" s="15"/>
    </row>
    <row r="578" spans="2:2">
      <c r="B578" s="15"/>
    </row>
    <row r="579" spans="2:2">
      <c r="B579" s="15"/>
    </row>
    <row r="580" spans="2:2">
      <c r="B580" s="15"/>
    </row>
    <row r="581" spans="2:2">
      <c r="B581" s="15"/>
    </row>
    <row r="582" spans="2:2">
      <c r="B582" s="15"/>
    </row>
    <row r="583" spans="2:2">
      <c r="B583" s="15"/>
    </row>
    <row r="584" spans="2:2">
      <c r="B584" s="15"/>
    </row>
    <row r="585" spans="2:2">
      <c r="B585" s="15"/>
    </row>
    <row r="586" spans="2:2">
      <c r="B586" s="15"/>
    </row>
    <row r="587" spans="2:2">
      <c r="B587" s="15"/>
    </row>
    <row r="588" spans="2:2">
      <c r="B588" s="15"/>
    </row>
    <row r="589" spans="2:2">
      <c r="B589" s="15"/>
    </row>
    <row r="590" spans="2:2">
      <c r="B590" s="15"/>
    </row>
    <row r="591" spans="2:2">
      <c r="B591" s="15"/>
    </row>
    <row r="592" spans="2:2">
      <c r="B592" s="15"/>
    </row>
    <row r="593" spans="2:2">
      <c r="B593" s="15"/>
    </row>
    <row r="594" spans="2:2">
      <c r="B594" s="15"/>
    </row>
    <row r="595" spans="2:2">
      <c r="B595" s="15"/>
    </row>
    <row r="596" spans="2:2">
      <c r="B596" s="15"/>
    </row>
    <row r="597" spans="2:2">
      <c r="B597" s="15"/>
    </row>
    <row r="598" spans="2:2">
      <c r="B598" s="15"/>
    </row>
    <row r="599" spans="2:2">
      <c r="B599" s="15"/>
    </row>
    <row r="600" spans="2:2">
      <c r="B600" s="15"/>
    </row>
    <row r="601" spans="2:2">
      <c r="B601" s="15"/>
    </row>
    <row r="602" spans="2:2">
      <c r="B602" s="15"/>
    </row>
    <row r="603" spans="2:2">
      <c r="B603" s="15"/>
    </row>
    <row r="604" spans="2:2">
      <c r="B604" s="15"/>
    </row>
    <row r="605" spans="2:2">
      <c r="B605" s="15"/>
    </row>
    <row r="606" spans="2:2">
      <c r="B606" s="15"/>
    </row>
    <row r="607" spans="2:2">
      <c r="B607" s="15"/>
    </row>
    <row r="608" spans="2:2">
      <c r="B608" s="15"/>
    </row>
    <row r="609" spans="2:2">
      <c r="B609" s="15"/>
    </row>
    <row r="610" spans="2:2">
      <c r="B610" s="15"/>
    </row>
    <row r="611" spans="2:2">
      <c r="B611" s="15"/>
    </row>
    <row r="612" spans="2:2">
      <c r="B612" s="15"/>
    </row>
    <row r="613" spans="2:2">
      <c r="B613" s="15"/>
    </row>
    <row r="614" spans="2:2">
      <c r="B614" s="15"/>
    </row>
    <row r="615" spans="2:2">
      <c r="B615" s="15"/>
    </row>
    <row r="616" spans="2:2">
      <c r="B616" s="15"/>
    </row>
    <row r="617" spans="2:2">
      <c r="B617" s="15"/>
    </row>
    <row r="618" spans="2:2">
      <c r="B618" s="15"/>
    </row>
    <row r="619" spans="2:2">
      <c r="B619" s="15"/>
    </row>
    <row r="620" spans="2:2">
      <c r="B620" s="15"/>
    </row>
    <row r="621" spans="2:2">
      <c r="B621" s="15"/>
    </row>
    <row r="622" spans="2:2">
      <c r="B622" s="15"/>
    </row>
    <row r="623" spans="2:2">
      <c r="B623" s="15"/>
    </row>
    <row r="624" spans="2:2">
      <c r="B624" s="15"/>
    </row>
    <row r="625" spans="2:2">
      <c r="B625" s="15"/>
    </row>
    <row r="626" spans="2:2">
      <c r="B626" s="15"/>
    </row>
    <row r="627" spans="2:2">
      <c r="B627" s="15"/>
    </row>
    <row r="628" spans="2:2">
      <c r="B628" s="15"/>
    </row>
    <row r="629" spans="2:2">
      <c r="B629" s="15"/>
    </row>
    <row r="630" spans="2:2">
      <c r="B630" s="15"/>
    </row>
    <row r="631" spans="2:2">
      <c r="B631" s="15"/>
    </row>
    <row r="632" spans="2:2">
      <c r="B632" s="15"/>
    </row>
    <row r="633" spans="2:2">
      <c r="B633" s="15"/>
    </row>
    <row r="634" spans="2:2">
      <c r="B634" s="15"/>
    </row>
    <row r="635" spans="2:2">
      <c r="B635" s="15"/>
    </row>
    <row r="636" spans="2:2">
      <c r="B636" s="15"/>
    </row>
    <row r="637" spans="2:2">
      <c r="B637" s="15"/>
    </row>
    <row r="638" spans="2:2">
      <c r="B638" s="15"/>
    </row>
    <row r="639" spans="2:2">
      <c r="B639" s="15"/>
    </row>
    <row r="640" spans="2:2">
      <c r="B640" s="15"/>
    </row>
    <row r="641" spans="2:2">
      <c r="B641" s="15"/>
    </row>
    <row r="642" spans="2:2">
      <c r="B642" s="15"/>
    </row>
    <row r="643" spans="2:2">
      <c r="B643" s="15"/>
    </row>
    <row r="644" spans="2:2">
      <c r="B644" s="15"/>
    </row>
    <row r="645" spans="2:2">
      <c r="B645" s="15"/>
    </row>
    <row r="646" spans="2:2">
      <c r="B646" s="15"/>
    </row>
    <row r="647" spans="2:2">
      <c r="B647" s="15"/>
    </row>
    <row r="648" spans="2:2">
      <c r="B648" s="15"/>
    </row>
    <row r="649" spans="2:2">
      <c r="B649" s="15"/>
    </row>
    <row r="650" spans="2:2">
      <c r="B650" s="15"/>
    </row>
    <row r="651" spans="2:2">
      <c r="B651" s="15"/>
    </row>
    <row r="652" spans="2:2">
      <c r="B652" s="15"/>
    </row>
    <row r="653" spans="2:2">
      <c r="B653" s="15"/>
    </row>
    <row r="654" spans="2:2">
      <c r="B654" s="15"/>
    </row>
    <row r="655" spans="2:2">
      <c r="B655" s="15"/>
    </row>
    <row r="656" spans="2:2">
      <c r="B656" s="15"/>
    </row>
    <row r="657" spans="2:2">
      <c r="B657" s="15"/>
    </row>
    <row r="658" spans="2:2">
      <c r="B658" s="15"/>
    </row>
    <row r="659" spans="2:2">
      <c r="B659" s="15"/>
    </row>
    <row r="660" spans="2:2">
      <c r="B660" s="15"/>
    </row>
    <row r="661" spans="2:2">
      <c r="B661" s="15"/>
    </row>
    <row r="662" spans="2:2">
      <c r="B662" s="15"/>
    </row>
    <row r="663" spans="2:2">
      <c r="B663" s="15"/>
    </row>
    <row r="664" spans="2:2">
      <c r="B664" s="15"/>
    </row>
    <row r="665" spans="2:2">
      <c r="B665" s="15"/>
    </row>
    <row r="666" spans="2:2">
      <c r="B666" s="15"/>
    </row>
    <row r="667" spans="2:2">
      <c r="B667" s="15"/>
    </row>
    <row r="668" spans="2:2">
      <c r="B668" s="15"/>
    </row>
    <row r="669" spans="2:2">
      <c r="B669" s="15"/>
    </row>
    <row r="670" spans="2:2">
      <c r="B670" s="15"/>
    </row>
    <row r="671" spans="2:2">
      <c r="B671" s="15"/>
    </row>
    <row r="672" spans="2:2">
      <c r="B672" s="15"/>
    </row>
    <row r="673" spans="2:2">
      <c r="B673" s="15"/>
    </row>
    <row r="674" spans="2:2">
      <c r="B674" s="15"/>
    </row>
    <row r="675" spans="2:2">
      <c r="B675" s="15"/>
    </row>
    <row r="676" spans="2:2">
      <c r="B676" s="15"/>
    </row>
    <row r="677" spans="2:2">
      <c r="B677" s="15"/>
    </row>
    <row r="678" spans="2:2">
      <c r="B678" s="15"/>
    </row>
    <row r="679" spans="2:2">
      <c r="B679" s="15"/>
    </row>
    <row r="680" spans="2:2">
      <c r="B680" s="15"/>
    </row>
    <row r="681" spans="2:2">
      <c r="B681" s="15"/>
    </row>
    <row r="682" spans="2:2">
      <c r="B682" s="15"/>
    </row>
    <row r="683" spans="2:2">
      <c r="B683" s="15"/>
    </row>
    <row r="684" spans="2:2">
      <c r="B684" s="15"/>
    </row>
    <row r="685" spans="2:2">
      <c r="B685" s="15"/>
    </row>
    <row r="686" spans="2:2">
      <c r="B686" s="15"/>
    </row>
    <row r="687" spans="2:2">
      <c r="B687" s="15"/>
    </row>
    <row r="688" spans="2:2">
      <c r="B688" s="15"/>
    </row>
    <row r="689" spans="2:2">
      <c r="B689" s="15"/>
    </row>
    <row r="690" spans="2:2">
      <c r="B690" s="15"/>
    </row>
    <row r="691" spans="2:2">
      <c r="B691" s="15"/>
    </row>
    <row r="692" spans="2:2">
      <c r="B692" s="15"/>
    </row>
    <row r="693" spans="2:2">
      <c r="B693" s="15"/>
    </row>
    <row r="694" spans="2:2">
      <c r="B694" s="15"/>
    </row>
    <row r="695" spans="2:2">
      <c r="B695" s="15"/>
    </row>
    <row r="696" spans="2:2">
      <c r="B696" s="15"/>
    </row>
    <row r="697" spans="2:2">
      <c r="B697" s="15"/>
    </row>
    <row r="698" spans="2:2">
      <c r="B698" s="15"/>
    </row>
    <row r="699" spans="2:2">
      <c r="B699" s="15"/>
    </row>
    <row r="700" spans="2:2">
      <c r="B700" s="15"/>
    </row>
    <row r="701" spans="2:2">
      <c r="B701" s="15"/>
    </row>
    <row r="702" spans="2:2">
      <c r="B702" s="15"/>
    </row>
    <row r="703" spans="2:2">
      <c r="B703" s="15"/>
    </row>
    <row r="704" spans="2:2">
      <c r="B704" s="15"/>
    </row>
    <row r="705" spans="2:2">
      <c r="B705" s="15"/>
    </row>
    <row r="706" spans="2:2">
      <c r="B706" s="15"/>
    </row>
    <row r="707" spans="2:2">
      <c r="B707" s="15"/>
    </row>
    <row r="708" spans="2:2">
      <c r="B708" s="15"/>
    </row>
    <row r="709" spans="2:2">
      <c r="B709" s="15"/>
    </row>
    <row r="710" spans="2:2">
      <c r="B710" s="15"/>
    </row>
    <row r="711" spans="2:2">
      <c r="B711" s="15"/>
    </row>
    <row r="712" spans="2:2">
      <c r="B712" s="15"/>
    </row>
    <row r="713" spans="2:2">
      <c r="B713" s="15"/>
    </row>
    <row r="714" spans="2:2">
      <c r="B714" s="15"/>
    </row>
    <row r="715" spans="2:2">
      <c r="B715" s="15"/>
    </row>
    <row r="716" spans="2:2">
      <c r="B716" s="15"/>
    </row>
    <row r="717" spans="2:2">
      <c r="B717" s="15"/>
    </row>
    <row r="718" spans="2:2">
      <c r="B718" s="15"/>
    </row>
    <row r="719" spans="2:2">
      <c r="B719" s="15"/>
    </row>
    <row r="720" spans="2:2">
      <c r="B720" s="15"/>
    </row>
    <row r="721" spans="2:2">
      <c r="B721" s="15"/>
    </row>
    <row r="722" spans="2:2">
      <c r="B722" s="15"/>
    </row>
    <row r="723" spans="2:2">
      <c r="B723" s="15"/>
    </row>
    <row r="724" spans="2:2">
      <c r="B724" s="15"/>
    </row>
    <row r="725" spans="2:2">
      <c r="B725" s="15"/>
    </row>
    <row r="726" spans="2:2">
      <c r="B726" s="15"/>
    </row>
    <row r="727" spans="2:2">
      <c r="B727" s="15"/>
    </row>
    <row r="728" spans="2:2">
      <c r="B728" s="15"/>
    </row>
    <row r="729" spans="2:2">
      <c r="B729" s="15"/>
    </row>
    <row r="730" spans="2:2">
      <c r="B730" s="15"/>
    </row>
    <row r="731" spans="2:2">
      <c r="B731" s="15"/>
    </row>
    <row r="732" spans="2:2">
      <c r="B732" s="15"/>
    </row>
    <row r="733" spans="2:2">
      <c r="B733" s="15"/>
    </row>
    <row r="734" spans="2:2">
      <c r="B734" s="15"/>
    </row>
    <row r="735" spans="2:2">
      <c r="B735" s="15"/>
    </row>
    <row r="736" spans="2:2">
      <c r="B736" s="15"/>
    </row>
    <row r="737" spans="2:2">
      <c r="B737" s="15"/>
    </row>
    <row r="738" spans="2:2">
      <c r="B738" s="15"/>
    </row>
    <row r="739" spans="2:2">
      <c r="B739" s="15"/>
    </row>
    <row r="740" spans="2:2">
      <c r="B740" s="15"/>
    </row>
    <row r="741" spans="2:2">
      <c r="B741" s="15"/>
    </row>
    <row r="742" spans="2:2">
      <c r="B742" s="15"/>
    </row>
    <row r="743" spans="2:2">
      <c r="B743" s="15"/>
    </row>
    <row r="744" spans="2:2">
      <c r="B744" s="15"/>
    </row>
    <row r="745" spans="2:2">
      <c r="B745" s="15"/>
    </row>
    <row r="746" spans="2:2">
      <c r="B746" s="15"/>
    </row>
    <row r="747" spans="2:2">
      <c r="B747" s="15"/>
    </row>
    <row r="748" spans="2:2">
      <c r="B748" s="15"/>
    </row>
    <row r="749" spans="2:2">
      <c r="B749" s="15"/>
    </row>
    <row r="750" spans="2:2">
      <c r="B750" s="15"/>
    </row>
    <row r="751" spans="2:2">
      <c r="B751" s="15"/>
    </row>
    <row r="752" spans="2:2">
      <c r="B752" s="15"/>
    </row>
    <row r="753" spans="2:2">
      <c r="B753" s="15"/>
    </row>
    <row r="754" spans="2:2">
      <c r="B754" s="15"/>
    </row>
    <row r="755" spans="2:2">
      <c r="B755" s="15"/>
    </row>
    <row r="756" spans="2:2">
      <c r="B756" s="15"/>
    </row>
    <row r="757" spans="2:2">
      <c r="B757" s="15"/>
    </row>
    <row r="758" spans="2:2">
      <c r="B758" s="15"/>
    </row>
    <row r="759" spans="2:2">
      <c r="B759" s="15"/>
    </row>
    <row r="760" spans="2:2">
      <c r="B760" s="15"/>
    </row>
    <row r="761" spans="2:2">
      <c r="B761" s="15"/>
    </row>
    <row r="762" spans="2:2">
      <c r="B762" s="15"/>
    </row>
    <row r="763" spans="2:2">
      <c r="B763" s="15"/>
    </row>
    <row r="764" spans="2:2">
      <c r="B764" s="15"/>
    </row>
    <row r="765" spans="2:2">
      <c r="B765" s="15"/>
    </row>
    <row r="766" spans="2:2">
      <c r="B766" s="15"/>
    </row>
    <row r="767" spans="2:2">
      <c r="B767" s="15"/>
    </row>
    <row r="768" spans="2:2">
      <c r="B768" s="15"/>
    </row>
    <row r="769" spans="2:2">
      <c r="B769" s="15"/>
    </row>
    <row r="770" spans="2:2">
      <c r="B770" s="15"/>
    </row>
    <row r="771" spans="2:2">
      <c r="B771" s="15"/>
    </row>
    <row r="772" spans="2:2">
      <c r="B772" s="15"/>
    </row>
    <row r="773" spans="2:2">
      <c r="B773" s="15"/>
    </row>
    <row r="774" spans="2:2">
      <c r="B774" s="15"/>
    </row>
    <row r="775" spans="2:2">
      <c r="B775" s="15"/>
    </row>
    <row r="776" spans="2:2">
      <c r="B776" s="15"/>
    </row>
    <row r="777" spans="2:2">
      <c r="B777" s="15"/>
    </row>
    <row r="778" spans="2:2">
      <c r="B778" s="15"/>
    </row>
    <row r="779" spans="2:2">
      <c r="B779" s="15"/>
    </row>
    <row r="780" spans="2:2">
      <c r="B780" s="15"/>
    </row>
    <row r="781" spans="2:2">
      <c r="B781" s="15"/>
    </row>
    <row r="782" spans="2:2">
      <c r="B782" s="15"/>
    </row>
    <row r="783" spans="2:2">
      <c r="B783" s="15"/>
    </row>
    <row r="784" spans="2:2">
      <c r="B784" s="15"/>
    </row>
    <row r="785" spans="2:2">
      <c r="B785" s="15"/>
    </row>
    <row r="786" spans="2:2">
      <c r="B786" s="15"/>
    </row>
    <row r="787" spans="2:2">
      <c r="B787" s="15"/>
    </row>
    <row r="788" spans="2:2">
      <c r="B788" s="15"/>
    </row>
    <row r="789" spans="2:2">
      <c r="B789" s="15"/>
    </row>
    <row r="790" spans="2:2">
      <c r="B790" s="15"/>
    </row>
    <row r="791" spans="2:2">
      <c r="B791" s="15"/>
    </row>
    <row r="792" spans="2:2">
      <c r="B792" s="15"/>
    </row>
    <row r="793" spans="2:2">
      <c r="B793" s="15"/>
    </row>
    <row r="794" spans="2:2">
      <c r="B794" s="15"/>
    </row>
    <row r="795" spans="2:2">
      <c r="B795" s="15"/>
    </row>
    <row r="796" spans="2:2">
      <c r="B796" s="15"/>
    </row>
    <row r="797" spans="2:2">
      <c r="B797" s="15"/>
    </row>
    <row r="798" spans="2:2">
      <c r="B798" s="15"/>
    </row>
    <row r="799" spans="2:2">
      <c r="B799" s="15"/>
    </row>
    <row r="800" spans="2:2">
      <c r="B800" s="15"/>
    </row>
    <row r="801" spans="2:2">
      <c r="B801" s="15"/>
    </row>
    <row r="802" spans="2:2">
      <c r="B802" s="15"/>
    </row>
    <row r="803" spans="2:2">
      <c r="B803" s="15"/>
    </row>
    <row r="804" spans="2:2">
      <c r="B804" s="15"/>
    </row>
    <row r="805" spans="2:2">
      <c r="B805" s="15"/>
    </row>
    <row r="806" spans="2:2">
      <c r="B806" s="15"/>
    </row>
    <row r="807" spans="2:2">
      <c r="B807" s="15"/>
    </row>
    <row r="808" spans="2:2">
      <c r="B808" s="15"/>
    </row>
    <row r="809" spans="2:2">
      <c r="B809" s="15"/>
    </row>
    <row r="810" spans="2:2">
      <c r="B810" s="15"/>
    </row>
    <row r="811" spans="2:2">
      <c r="B811" s="15"/>
    </row>
    <row r="812" spans="2:2">
      <c r="B812" s="15"/>
    </row>
    <row r="813" spans="2:2">
      <c r="B813" s="15"/>
    </row>
    <row r="814" spans="2:2">
      <c r="B814" s="15"/>
    </row>
    <row r="815" spans="2:2">
      <c r="B815" s="15"/>
    </row>
    <row r="816" spans="2:2">
      <c r="B816" s="15"/>
    </row>
    <row r="817" spans="2:2">
      <c r="B817" s="15"/>
    </row>
    <row r="818" spans="2:2">
      <c r="B818" s="15"/>
    </row>
    <row r="819" spans="2:2">
      <c r="B819" s="15"/>
    </row>
    <row r="820" spans="2:2">
      <c r="B820" s="15"/>
    </row>
    <row r="821" spans="2:2">
      <c r="B821" s="15"/>
    </row>
    <row r="822" spans="2:2">
      <c r="B822" s="15"/>
    </row>
    <row r="823" spans="2:2">
      <c r="B823" s="15"/>
    </row>
    <row r="824" spans="2:2">
      <c r="B824" s="15"/>
    </row>
    <row r="825" spans="2:2">
      <c r="B825" s="15"/>
    </row>
    <row r="826" spans="2:2">
      <c r="B826" s="15"/>
    </row>
    <row r="827" spans="2:2">
      <c r="B827" s="15"/>
    </row>
    <row r="828" spans="2:2">
      <c r="B828" s="15"/>
    </row>
    <row r="829" spans="2:2">
      <c r="B829" s="15"/>
    </row>
    <row r="830" spans="2:2">
      <c r="B830" s="15"/>
    </row>
    <row r="831" spans="2:2">
      <c r="B831" s="15"/>
    </row>
    <row r="832" spans="2:2">
      <c r="B832" s="15"/>
    </row>
    <row r="833" spans="2:2">
      <c r="B833" s="15"/>
    </row>
    <row r="834" spans="2:2">
      <c r="B834" s="15"/>
    </row>
    <row r="835" spans="2:2">
      <c r="B835" s="15"/>
    </row>
    <row r="836" spans="2:2">
      <c r="B836" s="15"/>
    </row>
    <row r="837" spans="2:2">
      <c r="B837" s="15"/>
    </row>
    <row r="838" spans="2:2">
      <c r="B838" s="15"/>
    </row>
    <row r="839" spans="2:2">
      <c r="B839" s="15"/>
    </row>
    <row r="840" spans="2:2">
      <c r="B840" s="15"/>
    </row>
    <row r="841" spans="2:2">
      <c r="B841" s="15"/>
    </row>
    <row r="842" spans="2:2">
      <c r="B842" s="15"/>
    </row>
    <row r="843" spans="2:2">
      <c r="B843" s="15"/>
    </row>
    <row r="844" spans="2:2">
      <c r="B844" s="15"/>
    </row>
    <row r="845" spans="2:2">
      <c r="B845" s="15"/>
    </row>
    <row r="846" spans="2:2">
      <c r="B846" s="15"/>
    </row>
    <row r="847" spans="2:2">
      <c r="B847" s="15"/>
    </row>
    <row r="848" spans="2:2">
      <c r="B848" s="15"/>
    </row>
    <row r="849" spans="2:2">
      <c r="B849" s="15"/>
    </row>
    <row r="850" spans="2:2">
      <c r="B850" s="15"/>
    </row>
    <row r="851" spans="2:2">
      <c r="B851" s="15"/>
    </row>
    <row r="852" spans="2:2">
      <c r="B852" s="15"/>
    </row>
    <row r="853" spans="2:2">
      <c r="B853" s="15"/>
    </row>
    <row r="854" spans="2:2">
      <c r="B854" s="15"/>
    </row>
    <row r="855" spans="2:2">
      <c r="B855" s="15"/>
    </row>
    <row r="856" spans="2:2">
      <c r="B856" s="15"/>
    </row>
    <row r="857" spans="2:2">
      <c r="B857" s="15"/>
    </row>
    <row r="858" spans="2:2">
      <c r="B858" s="15"/>
    </row>
    <row r="859" spans="2:2">
      <c r="B859" s="15"/>
    </row>
    <row r="860" spans="2:2">
      <c r="B860" s="15"/>
    </row>
    <row r="861" spans="2:2">
      <c r="B861" s="15"/>
    </row>
    <row r="862" spans="2:2">
      <c r="B862" s="15"/>
    </row>
    <row r="863" spans="2:2">
      <c r="B863" s="15"/>
    </row>
    <row r="864" spans="2:2">
      <c r="B864" s="15"/>
    </row>
    <row r="865" spans="2:2">
      <c r="B865" s="15"/>
    </row>
    <row r="866" spans="2:2">
      <c r="B866" s="15"/>
    </row>
    <row r="867" spans="2:2">
      <c r="B867" s="15"/>
    </row>
    <row r="868" spans="2:2">
      <c r="B868" s="15"/>
    </row>
    <row r="869" spans="2:2">
      <c r="B869" s="15"/>
    </row>
    <row r="870" spans="2:2">
      <c r="B870" s="15"/>
    </row>
    <row r="871" spans="2:2">
      <c r="B871" s="15"/>
    </row>
    <row r="872" spans="2:2">
      <c r="B872" s="15"/>
    </row>
    <row r="873" spans="2:2">
      <c r="B873" s="15"/>
    </row>
    <row r="874" spans="2:2">
      <c r="B874" s="15"/>
    </row>
    <row r="875" spans="2:2">
      <c r="B875" s="15"/>
    </row>
    <row r="876" spans="2:2">
      <c r="B876" s="15"/>
    </row>
    <row r="877" spans="2:2">
      <c r="B877" s="15"/>
    </row>
    <row r="878" spans="2:2">
      <c r="B878" s="15"/>
    </row>
    <row r="879" spans="2:2">
      <c r="B879" s="15"/>
    </row>
    <row r="880" spans="2:2">
      <c r="B880" s="15"/>
    </row>
    <row r="881" spans="2:2">
      <c r="B881" s="15"/>
    </row>
    <row r="882" spans="2:2">
      <c r="B882" s="15"/>
    </row>
    <row r="883" spans="2:2">
      <c r="B883" s="15"/>
    </row>
    <row r="884" spans="2:2">
      <c r="B884" s="15"/>
    </row>
    <row r="885" spans="2:2">
      <c r="B885" s="15"/>
    </row>
    <row r="886" spans="2:2">
      <c r="B886" s="15"/>
    </row>
    <row r="887" spans="2:2">
      <c r="B887" s="15"/>
    </row>
    <row r="888" spans="2:2">
      <c r="B888" s="15"/>
    </row>
    <row r="889" spans="2:2">
      <c r="B889" s="15"/>
    </row>
    <row r="890" spans="2:2">
      <c r="B890" s="15"/>
    </row>
    <row r="891" spans="2:2">
      <c r="B891" s="15"/>
    </row>
    <row r="892" spans="2:2">
      <c r="B892" s="15"/>
    </row>
    <row r="893" spans="2:2">
      <c r="B893" s="15"/>
    </row>
    <row r="894" spans="2:2">
      <c r="B894" s="15"/>
    </row>
    <row r="895" spans="2:2">
      <c r="B895" s="15"/>
    </row>
    <row r="896" spans="2:2">
      <c r="B896" s="15"/>
    </row>
    <row r="897" spans="2:2">
      <c r="B897" s="15"/>
    </row>
    <row r="898" spans="2:2">
      <c r="B898" s="15"/>
    </row>
    <row r="899" spans="2:2">
      <c r="B899" s="15"/>
    </row>
    <row r="900" spans="2:2">
      <c r="B900" s="15"/>
    </row>
    <row r="901" spans="2:2">
      <c r="B901" s="15"/>
    </row>
    <row r="902" spans="2:2">
      <c r="B902" s="15"/>
    </row>
    <row r="903" spans="2:2">
      <c r="B903" s="15"/>
    </row>
    <row r="904" spans="2:2">
      <c r="B904" s="15"/>
    </row>
    <row r="905" spans="2:2">
      <c r="B905" s="15"/>
    </row>
    <row r="906" spans="2:2">
      <c r="B906" s="15"/>
    </row>
    <row r="907" spans="2:2">
      <c r="B907" s="15"/>
    </row>
    <row r="908" spans="2:2">
      <c r="B908" s="15"/>
    </row>
    <row r="909" spans="2:2">
      <c r="B909" s="15"/>
    </row>
    <row r="910" spans="2:2">
      <c r="B910" s="15"/>
    </row>
    <row r="911" spans="2:2">
      <c r="B911" s="15"/>
    </row>
    <row r="912" spans="2:2">
      <c r="B912" s="15"/>
    </row>
    <row r="913" spans="2:2">
      <c r="B913" s="15"/>
    </row>
    <row r="914" spans="2:2">
      <c r="B914" s="15"/>
    </row>
    <row r="915" spans="2:2">
      <c r="B915" s="15"/>
    </row>
    <row r="916" spans="2:2">
      <c r="B916" s="15"/>
    </row>
    <row r="917" spans="2:2">
      <c r="B917" s="15"/>
    </row>
    <row r="918" spans="2:2">
      <c r="B918" s="15"/>
    </row>
    <row r="919" spans="2:2">
      <c r="B919" s="15"/>
    </row>
    <row r="920" spans="2:2">
      <c r="B920" s="15"/>
    </row>
    <row r="921" spans="2:2">
      <c r="B921" s="15"/>
    </row>
    <row r="922" spans="2:2">
      <c r="B922" s="15"/>
    </row>
    <row r="923" spans="2:2">
      <c r="B923" s="15"/>
    </row>
    <row r="924" spans="2:2">
      <c r="B924" s="15"/>
    </row>
    <row r="925" spans="2:2">
      <c r="B925" s="15"/>
    </row>
    <row r="926" spans="2:2">
      <c r="B926" s="15"/>
    </row>
    <row r="927" spans="2:2">
      <c r="B927" s="15"/>
    </row>
    <row r="928" spans="2:2">
      <c r="B928" s="15"/>
    </row>
    <row r="929" spans="2:2">
      <c r="B929" s="15"/>
    </row>
    <row r="930" spans="2:2">
      <c r="B930" s="15"/>
    </row>
    <row r="931" spans="2:2">
      <c r="B931" s="15"/>
    </row>
    <row r="932" spans="2:2">
      <c r="B932" s="15"/>
    </row>
    <row r="933" spans="2:2">
      <c r="B933" s="15"/>
    </row>
    <row r="934" spans="2:2">
      <c r="B934" s="15"/>
    </row>
    <row r="935" spans="2:2">
      <c r="B935" s="15"/>
    </row>
    <row r="936" spans="2:2">
      <c r="B936" s="15"/>
    </row>
    <row r="937" spans="2:2">
      <c r="B937" s="15"/>
    </row>
    <row r="938" spans="2:2">
      <c r="B938" s="15"/>
    </row>
    <row r="939" spans="2:2">
      <c r="B939" s="15"/>
    </row>
    <row r="940" spans="2:2">
      <c r="B940" s="15"/>
    </row>
    <row r="941" spans="2:2">
      <c r="B941" s="15"/>
    </row>
    <row r="942" spans="2:2">
      <c r="B942" s="15"/>
    </row>
    <row r="943" spans="2:2">
      <c r="B943" s="15"/>
    </row>
    <row r="944" spans="2:2">
      <c r="B944" s="15"/>
    </row>
    <row r="945" spans="2:2">
      <c r="B945" s="15"/>
    </row>
    <row r="946" spans="2:2">
      <c r="B946" s="15"/>
    </row>
    <row r="947" spans="2:2">
      <c r="B947" s="15"/>
    </row>
    <row r="948" spans="2:2">
      <c r="B948" s="15"/>
    </row>
    <row r="949" spans="2:2">
      <c r="B949" s="15"/>
    </row>
    <row r="950" spans="2:2">
      <c r="B950" s="15"/>
    </row>
    <row r="951" spans="2:2">
      <c r="B951" s="15"/>
    </row>
    <row r="952" spans="2:2">
      <c r="B952" s="15"/>
    </row>
    <row r="953" spans="2:2">
      <c r="B953" s="15"/>
    </row>
    <row r="954" spans="2:2">
      <c r="B954" s="15"/>
    </row>
    <row r="955" spans="2:2">
      <c r="B955" s="15"/>
    </row>
    <row r="956" spans="2:2">
      <c r="B956" s="15"/>
    </row>
    <row r="957" spans="2:2">
      <c r="B957" s="15"/>
    </row>
    <row r="958" spans="2:2">
      <c r="B958" s="15"/>
    </row>
    <row r="959" spans="2:2">
      <c r="B959" s="15"/>
    </row>
    <row r="960" spans="2:2">
      <c r="B960" s="15"/>
    </row>
    <row r="961" spans="2:2">
      <c r="B961" s="15"/>
    </row>
    <row r="962" spans="2:2">
      <c r="B962" s="15"/>
    </row>
    <row r="963" spans="2:2">
      <c r="B963" s="15"/>
    </row>
    <row r="964" spans="2:2">
      <c r="B964" s="15"/>
    </row>
    <row r="965" spans="2:2">
      <c r="B965" s="15"/>
    </row>
    <row r="966" spans="2:2">
      <c r="B966" s="15"/>
    </row>
    <row r="967" spans="2:2">
      <c r="B967" s="15"/>
    </row>
    <row r="968" spans="2:2">
      <c r="B968" s="15"/>
    </row>
    <row r="969" spans="2:2">
      <c r="B969" s="15"/>
    </row>
    <row r="970" spans="2:2">
      <c r="B970" s="15"/>
    </row>
    <row r="971" spans="2:2">
      <c r="B971" s="15"/>
    </row>
    <row r="972" spans="2:2">
      <c r="B972" s="15"/>
    </row>
    <row r="973" spans="2:2">
      <c r="B973" s="15"/>
    </row>
    <row r="974" spans="2:2">
      <c r="B974" s="15"/>
    </row>
    <row r="975" spans="2:2">
      <c r="B975" s="15"/>
    </row>
    <row r="976" spans="2:2">
      <c r="B976" s="15"/>
    </row>
    <row r="977" spans="2:2">
      <c r="B977" s="15"/>
    </row>
    <row r="978" spans="2:2">
      <c r="B978" s="15"/>
    </row>
    <row r="979" spans="2:2">
      <c r="B979" s="15"/>
    </row>
    <row r="980" spans="2:2">
      <c r="B980" s="15"/>
    </row>
    <row r="981" spans="2:2">
      <c r="B981" s="15"/>
    </row>
    <row r="982" spans="2:2">
      <c r="B982" s="15"/>
    </row>
    <row r="983" spans="2:2">
      <c r="B983" s="15"/>
    </row>
    <row r="984" spans="2:2">
      <c r="B984" s="15"/>
    </row>
    <row r="985" spans="2:2">
      <c r="B985" s="15"/>
    </row>
    <row r="986" spans="2:2">
      <c r="B986" s="15"/>
    </row>
    <row r="987" spans="2:2">
      <c r="B987" s="15"/>
    </row>
    <row r="988" spans="2:2">
      <c r="B988" s="15"/>
    </row>
    <row r="989" spans="2:2">
      <c r="B989" s="15"/>
    </row>
    <row r="990" spans="2:2">
      <c r="B990" s="15"/>
    </row>
    <row r="991" spans="2:2">
      <c r="B991" s="15"/>
    </row>
    <row r="992" spans="2:2">
      <c r="B992" s="15"/>
    </row>
    <row r="993" spans="2:2">
      <c r="B993" s="15"/>
    </row>
    <row r="994" spans="2:2">
      <c r="B994" s="15"/>
    </row>
    <row r="995" spans="2:2">
      <c r="B995" s="15"/>
    </row>
    <row r="996" spans="2:2">
      <c r="B996" s="15"/>
    </row>
    <row r="997" spans="2:2">
      <c r="B997" s="15"/>
    </row>
    <row r="998" spans="2:2">
      <c r="B998" s="15"/>
    </row>
    <row r="999" spans="2:2">
      <c r="B999" s="15"/>
    </row>
    <row r="1000" spans="2:2">
      <c r="B1000" s="15"/>
    </row>
    <row r="1001" spans="2:2">
      <c r="B1001" s="15"/>
    </row>
    <row r="1002" spans="2:2">
      <c r="B1002" s="15"/>
    </row>
    <row r="1003" spans="2:2">
      <c r="B1003" s="15"/>
    </row>
    <row r="1004" spans="2:2">
      <c r="B1004" s="15"/>
    </row>
    <row r="1005" spans="2:2">
      <c r="B1005" s="15"/>
    </row>
    <row r="1006" spans="2:2">
      <c r="B1006" s="15"/>
    </row>
    <row r="1007" spans="2:2">
      <c r="B1007" s="15"/>
    </row>
    <row r="1008" spans="2:2">
      <c r="B1008" s="15"/>
    </row>
    <row r="1009" spans="2:2">
      <c r="B1009" s="15"/>
    </row>
    <row r="1010" spans="2:2">
      <c r="B1010" s="15"/>
    </row>
    <row r="1011" spans="2:2">
      <c r="B1011" s="15"/>
    </row>
    <row r="1012" spans="2:2">
      <c r="B1012" s="15"/>
    </row>
    <row r="1013" spans="2:2">
      <c r="B1013" s="15"/>
    </row>
    <row r="1014" spans="2:2">
      <c r="B1014" s="15"/>
    </row>
    <row r="1015" spans="2:2">
      <c r="B1015" s="15"/>
    </row>
    <row r="1016" spans="2:2">
      <c r="B1016" s="15"/>
    </row>
    <row r="1017" spans="2:2">
      <c r="B1017" s="15"/>
    </row>
    <row r="1018" spans="2:2">
      <c r="B1018" s="15"/>
    </row>
    <row r="1019" spans="2:2">
      <c r="B1019" s="15"/>
    </row>
    <row r="1020" spans="2:2">
      <c r="B1020" s="15"/>
    </row>
    <row r="1021" spans="2:2">
      <c r="B1021" s="15"/>
    </row>
    <row r="1022" spans="2:2">
      <c r="B1022" s="15"/>
    </row>
    <row r="1023" spans="2:2">
      <c r="B1023" s="15"/>
    </row>
    <row r="1024" spans="2:2">
      <c r="B1024" s="15"/>
    </row>
    <row r="1025" spans="2:2">
      <c r="B1025" s="15"/>
    </row>
    <row r="1026" spans="2:2">
      <c r="B1026" s="15"/>
    </row>
    <row r="1027" spans="2:2">
      <c r="B1027" s="15"/>
    </row>
    <row r="1028" spans="2:2">
      <c r="B1028" s="15"/>
    </row>
    <row r="1029" spans="2:2">
      <c r="B1029" s="15"/>
    </row>
  </sheetData>
  <conditionalFormatting sqref="B1:B376 B482:B1048576">
    <cfRule type="duplicateValues" dxfId="3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1048576"/>
  <sheetViews>
    <sheetView workbookViewId="0">
      <selection activeCell="I1" sqref="I1"/>
    </sheetView>
  </sheetViews>
  <sheetFormatPr defaultColWidth="9" defaultRowHeight="14.5"/>
  <cols>
    <col min="1" max="1" width="9" style="3"/>
    <col min="2" max="2" width="13.36328125" style="4" customWidth="1"/>
    <col min="3" max="3" width="12.36328125" style="5" customWidth="1"/>
    <col min="4" max="4" width="12.90625" style="6" customWidth="1"/>
    <col min="5" max="5" width="12.90625" style="7" customWidth="1"/>
    <col min="6" max="6" width="9" style="3"/>
    <col min="7" max="9" width="9" style="8"/>
    <col min="10" max="13" width="9" style="9"/>
    <col min="14" max="15" width="9" style="2"/>
    <col min="16" max="16" width="9" style="10"/>
    <col min="17" max="19" width="9" style="2"/>
    <col min="21" max="16370" width="9" style="2"/>
  </cols>
  <sheetData>
    <row r="1" spans="1:50 16371:16384" s="1" customFormat="1" ht="30" customHeight="1">
      <c r="A1" s="11" t="s">
        <v>13</v>
      </c>
      <c r="B1" s="11" t="s">
        <v>561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20</v>
      </c>
      <c r="I1" s="11" t="s">
        <v>22</v>
      </c>
      <c r="J1" s="11" t="s">
        <v>27</v>
      </c>
      <c r="K1" s="11" t="s">
        <v>28</v>
      </c>
      <c r="L1" s="11" t="s">
        <v>29</v>
      </c>
      <c r="M1" s="11" t="s">
        <v>30</v>
      </c>
      <c r="N1" s="11"/>
      <c r="O1" s="11"/>
      <c r="P1" s="11" t="s">
        <v>18</v>
      </c>
      <c r="Q1" s="11" t="s">
        <v>17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XEQ1"/>
      <c r="XER1"/>
      <c r="XES1"/>
      <c r="XET1"/>
      <c r="XEU1"/>
      <c r="XEV1"/>
      <c r="XEW1"/>
      <c r="XEX1"/>
      <c r="XEY1"/>
      <c r="XEZ1"/>
      <c r="XFA1"/>
      <c r="XFB1"/>
      <c r="XFC1"/>
      <c r="XFD1"/>
    </row>
    <row r="2" spans="1:50 16371:16384" s="2" customFormat="1" ht="30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50 16371:16384" s="2" customFormat="1" ht="30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pans="1:50 16371:16384" s="2" customFormat="1" ht="30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pans="1:50 16371:16384" s="2" customFormat="1" ht="30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pans="1:50 16371:16384" s="2" customFormat="1" ht="30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pans="1:50 16371:16384" s="2" customFormat="1" ht="3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spans="1:50 16371:16384" s="2" customFormat="1" ht="30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XEQ8"/>
      <c r="XER8"/>
      <c r="XES8"/>
      <c r="XET8"/>
      <c r="XEU8"/>
      <c r="XEV8"/>
      <c r="XEW8"/>
      <c r="XEX8"/>
      <c r="XEY8"/>
      <c r="XEZ8"/>
      <c r="XFA8"/>
      <c r="XFB8"/>
      <c r="XFC8"/>
      <c r="XFD8"/>
    </row>
    <row r="9" spans="1:50 16371:16384" s="2" customFormat="1" ht="30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XEQ9"/>
      <c r="XER9"/>
      <c r="XES9"/>
      <c r="XET9"/>
      <c r="XEU9"/>
      <c r="XEV9"/>
      <c r="XEW9"/>
      <c r="XEX9"/>
      <c r="XEY9"/>
      <c r="XEZ9"/>
      <c r="XFA9"/>
      <c r="XFB9"/>
      <c r="XFC9"/>
      <c r="XFD9"/>
    </row>
    <row r="10" spans="1:50 16371:16384" s="2" customFormat="1" ht="30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XEQ10"/>
      <c r="XER10"/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pans="1:50 16371:16384" s="2" customFormat="1" ht="30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XEQ11"/>
      <c r="XER11"/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pans="1:50 16371:16384" s="2" customFormat="1" ht="3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XEQ12"/>
      <c r="XER12"/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pans="1:50 16371:16384" s="2" customFormat="1" ht="30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XEQ13"/>
      <c r="XER13"/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pans="1:50 16371:16384" s="2" customFormat="1" ht="30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pans="1:50 16371:16384" s="2" customFormat="1" ht="30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XEQ15"/>
      <c r="XER15"/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pans="1:50 16371:16384" s="2" customFormat="1" ht="30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XEQ16"/>
      <c r="XER16"/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pans="1:50 16371:16384" s="2" customFormat="1" ht="30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XEQ17"/>
      <c r="XER17"/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pans="1:50 16371:16384" s="2" customFormat="1" ht="3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XEQ18"/>
      <c r="XER18"/>
      <c r="XES18"/>
      <c r="XET18"/>
      <c r="XEU18"/>
      <c r="XEV18"/>
      <c r="XEW18"/>
      <c r="XEX18"/>
      <c r="XEY18"/>
      <c r="XEZ18"/>
      <c r="XFA18"/>
      <c r="XFB18"/>
      <c r="XFC18"/>
      <c r="XFD18"/>
    </row>
    <row r="19" spans="1:50 16371:16384" s="2" customFormat="1" ht="30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  <c r="XFD19"/>
    </row>
    <row r="20" spans="1:50 16371:16384" s="2" customFormat="1" ht="30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XEQ20"/>
      <c r="XER20"/>
      <c r="XES20"/>
      <c r="XET20"/>
      <c r="XEU20"/>
      <c r="XEV20"/>
      <c r="XEW20"/>
      <c r="XEX20"/>
      <c r="XEY20"/>
      <c r="XEZ20"/>
      <c r="XFA20"/>
      <c r="XFB20"/>
      <c r="XFC20"/>
      <c r="XFD20"/>
    </row>
    <row r="21" spans="1:50 16371:16384" s="2" customFormat="1" ht="30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  <c r="XFD21"/>
    </row>
    <row r="22" spans="1:50 16371:16384" s="2" customFormat="1" ht="30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XEQ22"/>
      <c r="XER22"/>
      <c r="XES22"/>
      <c r="XET22"/>
      <c r="XEU22"/>
      <c r="XEV22"/>
      <c r="XEW22"/>
      <c r="XEX22"/>
      <c r="XEY22"/>
      <c r="XEZ22"/>
      <c r="XFA22"/>
      <c r="XFB22"/>
      <c r="XFC22"/>
      <c r="XFD22"/>
    </row>
    <row r="23" spans="1:50 16371:16384" s="2" customFormat="1" ht="30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XEQ23"/>
      <c r="XER23"/>
      <c r="XES23"/>
      <c r="XET23"/>
      <c r="XEU23"/>
      <c r="XEV23"/>
      <c r="XEW23"/>
      <c r="XEX23"/>
      <c r="XEY23"/>
      <c r="XEZ23"/>
      <c r="XFA23"/>
      <c r="XFB23"/>
      <c r="XFC23"/>
      <c r="XFD23"/>
    </row>
    <row r="24" spans="1:50 16371:16384" s="2" customFormat="1" ht="3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XEQ24"/>
      <c r="XER24"/>
      <c r="XES24"/>
      <c r="XET24"/>
      <c r="XEU24"/>
      <c r="XEV24"/>
      <c r="XEW24"/>
      <c r="XEX24"/>
      <c r="XEY24"/>
      <c r="XEZ24"/>
      <c r="XFA24"/>
      <c r="XFB24"/>
      <c r="XFC24"/>
      <c r="XFD24"/>
    </row>
    <row r="25" spans="1:50 16371:16384" s="2" customFormat="1" ht="30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XEQ25"/>
      <c r="XER25"/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pans="1:50 16371:16384" s="2" customFormat="1" ht="3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XEQ26"/>
      <c r="XER26"/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pans="1:50 16371:16384" s="2" customFormat="1" ht="30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XEQ27"/>
      <c r="XER27"/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pans="1:50 16371:16384" s="2" customFormat="1" ht="30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XEQ28"/>
      <c r="XER28"/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pans="1:50 16371:16384" s="2" customFormat="1" ht="30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XEQ29"/>
      <c r="XER29"/>
      <c r="XES29"/>
      <c r="XET29"/>
      <c r="XEU29"/>
      <c r="XEV29"/>
      <c r="XEW29"/>
      <c r="XEX29"/>
      <c r="XEY29"/>
      <c r="XEZ29"/>
      <c r="XFA29"/>
      <c r="XFB29"/>
      <c r="XFC29"/>
      <c r="XFD29"/>
    </row>
    <row r="30" spans="1:50 16371:16384" s="2" customFormat="1" ht="3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XEQ30"/>
      <c r="XER30"/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pans="1:50 16371:16384" s="2" customFormat="1" ht="30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pans="1:50 16371:16384" s="2" customFormat="1" ht="3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XEQ32"/>
      <c r="XER32"/>
      <c r="XES32"/>
      <c r="XET32"/>
      <c r="XEU32"/>
      <c r="XEV32"/>
      <c r="XEW32"/>
      <c r="XEX32"/>
      <c r="XEY32"/>
      <c r="XEZ32"/>
      <c r="XFA32"/>
      <c r="XFB32"/>
      <c r="XFC32"/>
      <c r="XFD32"/>
    </row>
    <row r="33" spans="1:50 16371:16384" s="2" customFormat="1" ht="30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XEQ33"/>
      <c r="XER33"/>
      <c r="XES33"/>
      <c r="XET33"/>
      <c r="XEU33"/>
      <c r="XEV33"/>
      <c r="XEW33"/>
      <c r="XEX33"/>
      <c r="XEY33"/>
      <c r="XEZ33"/>
      <c r="XFA33"/>
      <c r="XFB33"/>
      <c r="XFC33"/>
      <c r="XFD33"/>
    </row>
    <row r="34" spans="1:50 16371:16384" s="2" customFormat="1" ht="30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XEQ34"/>
      <c r="XER34"/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pans="1:50 16371:16384" s="2" customFormat="1" ht="3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XEQ35"/>
      <c r="XER35"/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pans="1:50 16371:16384" s="2" customFormat="1" ht="3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XEQ36"/>
      <c r="XER36"/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pans="1:50 16371:16384" s="2" customFormat="1" ht="30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XEQ37"/>
      <c r="XER37"/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pans="1:50 16371:16384" s="2" customFormat="1" ht="3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XEQ38"/>
      <c r="XER38"/>
      <c r="XES38"/>
      <c r="XET38"/>
      <c r="XEU38"/>
      <c r="XEV38"/>
      <c r="XEW38"/>
      <c r="XEX38"/>
      <c r="XEY38"/>
      <c r="XEZ38"/>
      <c r="XFA38"/>
      <c r="XFB38"/>
      <c r="XFC38"/>
      <c r="XFD38"/>
    </row>
    <row r="39" spans="1:50 16371:16384" s="2" customFormat="1" ht="30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XEQ39"/>
      <c r="XER39"/>
      <c r="XES39"/>
      <c r="XET39"/>
      <c r="XEU39"/>
      <c r="XEV39"/>
      <c r="XEW39"/>
      <c r="XEX39"/>
      <c r="XEY39"/>
      <c r="XEZ39"/>
      <c r="XFA39"/>
      <c r="XFB39"/>
      <c r="XFC39"/>
      <c r="XFD39"/>
    </row>
    <row r="40" spans="1:50 16371:16384" s="2" customFormat="1" ht="30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XEQ40"/>
      <c r="XER40"/>
      <c r="XES40"/>
      <c r="XET40"/>
      <c r="XEU40"/>
      <c r="XEV40"/>
      <c r="XEW40"/>
      <c r="XEX40"/>
      <c r="XEY40"/>
      <c r="XEZ40"/>
      <c r="XFA40"/>
      <c r="XFB40"/>
      <c r="XFC40"/>
      <c r="XFD40"/>
    </row>
    <row r="41" spans="1:50 16371:16384" s="2" customFormat="1" ht="30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XEQ41"/>
      <c r="XER41"/>
      <c r="XES41"/>
      <c r="XET41"/>
      <c r="XEU41"/>
      <c r="XEV41"/>
      <c r="XEW41"/>
      <c r="XEX41"/>
      <c r="XEY41"/>
      <c r="XEZ41"/>
      <c r="XFA41"/>
      <c r="XFB41"/>
      <c r="XFC41"/>
      <c r="XFD41"/>
    </row>
    <row r="42" spans="1:50 16371:16384" s="2" customFormat="1" ht="3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XEQ42"/>
      <c r="XER42"/>
      <c r="XES42"/>
      <c r="XET42"/>
      <c r="XEU42"/>
      <c r="XEV42"/>
      <c r="XEW42"/>
      <c r="XEX42"/>
      <c r="XEY42"/>
      <c r="XEZ42"/>
      <c r="XFA42"/>
      <c r="XFB42"/>
      <c r="XFC42"/>
      <c r="XFD42"/>
    </row>
    <row r="43" spans="1:50 16371:16384" s="2" customFormat="1" ht="30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XEQ43"/>
      <c r="XER43"/>
      <c r="XES43"/>
      <c r="XET43"/>
      <c r="XEU43"/>
      <c r="XEV43"/>
      <c r="XEW43"/>
      <c r="XEX43"/>
      <c r="XEY43"/>
      <c r="XEZ43"/>
      <c r="XFA43"/>
      <c r="XFB43"/>
      <c r="XFC43"/>
      <c r="XFD43"/>
    </row>
    <row r="44" spans="1:50 16371:16384" s="2" customFormat="1" ht="3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XEQ44"/>
      <c r="XER44"/>
      <c r="XES44"/>
      <c r="XET44"/>
      <c r="XEU44"/>
      <c r="XEV44"/>
      <c r="XEW44"/>
      <c r="XEX44"/>
      <c r="XEY44"/>
      <c r="XEZ44"/>
      <c r="XFA44"/>
      <c r="XFB44"/>
      <c r="XFC44"/>
      <c r="XFD44"/>
    </row>
    <row r="45" spans="1:50 16371:16384" s="2" customFormat="1" ht="30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XEQ45"/>
      <c r="XER45"/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pans="1:50 16371:16384" s="2" customFormat="1" ht="30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XEQ46"/>
      <c r="XER46"/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pans="1:50 16371:16384" s="2" customFormat="1" ht="30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XEQ47"/>
      <c r="XER47"/>
      <c r="XES47"/>
      <c r="XET47"/>
      <c r="XEU47"/>
      <c r="XEV47"/>
      <c r="XEW47"/>
      <c r="XEX47"/>
      <c r="XEY47"/>
      <c r="XEZ47"/>
      <c r="XFA47"/>
      <c r="XFB47"/>
      <c r="XFC47"/>
      <c r="XFD47"/>
    </row>
    <row r="48" spans="1:50 16371:16384" s="2" customFormat="1" ht="3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XEQ48"/>
      <c r="XER48"/>
      <c r="XES48"/>
      <c r="XET48"/>
      <c r="XEU48"/>
      <c r="XEV48"/>
      <c r="XEW48"/>
      <c r="XEX48"/>
      <c r="XEY48"/>
      <c r="XEZ48"/>
      <c r="XFA48"/>
      <c r="XFB48"/>
      <c r="XFC48"/>
      <c r="XFD48"/>
    </row>
    <row r="49" spans="1:50 16371:16384" s="2" customFormat="1" ht="30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XEQ49"/>
      <c r="XER49"/>
      <c r="XES49"/>
      <c r="XET49"/>
      <c r="XEU49"/>
      <c r="XEV49"/>
      <c r="XEW49"/>
      <c r="XEX49"/>
      <c r="XEY49"/>
      <c r="XEZ49"/>
      <c r="XFA49"/>
      <c r="XFB49"/>
      <c r="XFC49"/>
      <c r="XFD49"/>
    </row>
    <row r="50" spans="1:50 16371:16384" s="2" customFormat="1" ht="3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XEQ50"/>
      <c r="XER50"/>
      <c r="XES50"/>
      <c r="XET50"/>
      <c r="XEU50"/>
      <c r="XEV50"/>
      <c r="XEW50"/>
      <c r="XEX50"/>
      <c r="XEY50"/>
      <c r="XEZ50"/>
      <c r="XFA50"/>
      <c r="XFB50"/>
      <c r="XFC50"/>
      <c r="XFD50"/>
    </row>
    <row r="51" spans="1:50 16371:16384" s="2" customForma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XEQ51"/>
      <c r="XER51"/>
      <c r="XES51"/>
      <c r="XET51"/>
      <c r="XEU51"/>
      <c r="XEV51"/>
      <c r="XEW51"/>
      <c r="XEX51"/>
      <c r="XEY51"/>
      <c r="XEZ51"/>
      <c r="XFA51"/>
      <c r="XFB51"/>
      <c r="XFC51"/>
      <c r="XFD51"/>
    </row>
    <row r="52" spans="1:50 16371:16384" s="2" customForma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XEQ52"/>
      <c r="XER52"/>
      <c r="XES52"/>
      <c r="XET52"/>
      <c r="XEU52"/>
      <c r="XEV52"/>
      <c r="XEW52"/>
      <c r="XEX52"/>
      <c r="XEY52"/>
      <c r="XEZ52"/>
      <c r="XFA52"/>
      <c r="XFB52"/>
      <c r="XFC52"/>
      <c r="XFD52"/>
    </row>
    <row r="53" spans="1:50 16371:16384" s="2" customForma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XEQ53"/>
      <c r="XER53"/>
      <c r="XES53"/>
      <c r="XET53"/>
      <c r="XEU53"/>
      <c r="XEV53"/>
      <c r="XEW53"/>
      <c r="XEX53"/>
      <c r="XEY53"/>
      <c r="XEZ53"/>
      <c r="XFA53"/>
      <c r="XFB53"/>
      <c r="XFC53"/>
      <c r="XFD53"/>
    </row>
    <row r="54" spans="1:50 16371:16384" s="2" customForma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XEQ54"/>
      <c r="XER54"/>
      <c r="XES54"/>
      <c r="XET54"/>
      <c r="XEU54"/>
      <c r="XEV54"/>
      <c r="XEW54"/>
      <c r="XEX54"/>
      <c r="XEY54"/>
      <c r="XEZ54"/>
      <c r="XFA54"/>
      <c r="XFB54"/>
      <c r="XFC54"/>
      <c r="XFD54"/>
    </row>
    <row r="55" spans="1:50 16371:16384" s="2" customForma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XEQ55"/>
      <c r="XER55"/>
      <c r="XES55"/>
      <c r="XET55"/>
      <c r="XEU55"/>
      <c r="XEV55"/>
      <c r="XEW55"/>
      <c r="XEX55"/>
      <c r="XEY55"/>
      <c r="XEZ55"/>
      <c r="XFA55"/>
      <c r="XFB55"/>
      <c r="XFC55"/>
      <c r="XFD55"/>
    </row>
    <row r="56" spans="1:50 16371:16384" s="2" customForma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XEQ56"/>
      <c r="XER56"/>
      <c r="XES56"/>
      <c r="XET56"/>
      <c r="XEU56"/>
      <c r="XEV56"/>
      <c r="XEW56"/>
      <c r="XEX56"/>
      <c r="XEY56"/>
      <c r="XEZ56"/>
      <c r="XFA56"/>
      <c r="XFB56"/>
      <c r="XFC56"/>
      <c r="XFD56"/>
    </row>
    <row r="57" spans="1:50 16371:16384" s="2" customForma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XEQ57"/>
      <c r="XER57"/>
      <c r="XES57"/>
      <c r="XET57"/>
      <c r="XEU57"/>
      <c r="XEV57"/>
      <c r="XEW57"/>
      <c r="XEX57"/>
      <c r="XEY57"/>
      <c r="XEZ57"/>
      <c r="XFA57"/>
      <c r="XFB57"/>
      <c r="XFC57"/>
      <c r="XFD57"/>
    </row>
    <row r="58" spans="1:50 16371:16384" s="2" customForma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XEQ58"/>
      <c r="XER58"/>
      <c r="XES58"/>
      <c r="XET58"/>
      <c r="XEU58"/>
      <c r="XEV58"/>
      <c r="XEW58"/>
      <c r="XEX58"/>
      <c r="XEY58"/>
      <c r="XEZ58"/>
      <c r="XFA58"/>
      <c r="XFB58"/>
      <c r="XFC58"/>
      <c r="XFD58"/>
    </row>
    <row r="59" spans="1:50 16371:16384" s="2" customForma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XEQ59"/>
      <c r="XER59"/>
      <c r="XES59"/>
      <c r="XET59"/>
      <c r="XEU59"/>
      <c r="XEV59"/>
      <c r="XEW59"/>
      <c r="XEX59"/>
      <c r="XEY59"/>
      <c r="XEZ59"/>
      <c r="XFA59"/>
      <c r="XFB59"/>
      <c r="XFC59"/>
      <c r="XFD59"/>
    </row>
    <row r="60" spans="1:50 16371:16384" s="2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XEQ60"/>
      <c r="XER60"/>
      <c r="XES60"/>
      <c r="XET60"/>
      <c r="XEU60"/>
      <c r="XEV60"/>
      <c r="XEW60"/>
      <c r="XEX60"/>
      <c r="XEY60"/>
      <c r="XEZ60"/>
      <c r="XFA60"/>
      <c r="XFB60"/>
      <c r="XFC60"/>
      <c r="XFD60"/>
    </row>
    <row r="61" spans="1:50 16371:16384" s="2" customForma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XEQ61"/>
      <c r="XER61"/>
      <c r="XES61"/>
      <c r="XET61"/>
      <c r="XEU61"/>
      <c r="XEV61"/>
      <c r="XEW61"/>
      <c r="XEX61"/>
      <c r="XEY61"/>
      <c r="XEZ61"/>
      <c r="XFA61"/>
      <c r="XFB61"/>
      <c r="XFC61"/>
      <c r="XFD61"/>
    </row>
    <row r="62" spans="1:50 16371:16384" s="2" customForma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XEQ62"/>
      <c r="XER62"/>
      <c r="XES62"/>
      <c r="XET62"/>
      <c r="XEU62"/>
      <c r="XEV62"/>
      <c r="XEW62"/>
      <c r="XEX62"/>
      <c r="XEY62"/>
      <c r="XEZ62"/>
      <c r="XFA62"/>
      <c r="XFB62"/>
      <c r="XFC62"/>
      <c r="XFD62"/>
    </row>
    <row r="63" spans="1:50 16371:16384" s="2" customForma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XEQ63"/>
      <c r="XER63"/>
      <c r="XES63"/>
      <c r="XET63"/>
      <c r="XEU63"/>
      <c r="XEV63"/>
      <c r="XEW63"/>
      <c r="XEX63"/>
      <c r="XEY63"/>
      <c r="XEZ63"/>
      <c r="XFA63"/>
      <c r="XFB63"/>
      <c r="XFC63"/>
      <c r="XFD63"/>
    </row>
    <row r="64" spans="1:50 16371:16384" s="2" customForma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XEQ64"/>
      <c r="XER64"/>
      <c r="XES64"/>
      <c r="XET64"/>
      <c r="XEU64"/>
      <c r="XEV64"/>
      <c r="XEW64"/>
      <c r="XEX64"/>
      <c r="XEY64"/>
      <c r="XEZ64"/>
      <c r="XFA64"/>
      <c r="XFB64"/>
      <c r="XFC64"/>
      <c r="XFD64"/>
    </row>
    <row r="65" spans="1:50 16371:16384" s="2" customForma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XEQ65"/>
      <c r="XER65"/>
      <c r="XES65"/>
      <c r="XET65"/>
      <c r="XEU65"/>
      <c r="XEV65"/>
      <c r="XEW65"/>
      <c r="XEX65"/>
      <c r="XEY65"/>
      <c r="XEZ65"/>
      <c r="XFA65"/>
      <c r="XFB65"/>
      <c r="XFC65"/>
      <c r="XFD65"/>
    </row>
    <row r="66" spans="1:50 16371:16384" s="2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XEQ66"/>
      <c r="XER66"/>
      <c r="XES66"/>
      <c r="XET66"/>
      <c r="XEU66"/>
      <c r="XEV66"/>
      <c r="XEW66"/>
      <c r="XEX66"/>
      <c r="XEY66"/>
      <c r="XEZ66"/>
      <c r="XFA66"/>
      <c r="XFB66"/>
      <c r="XFC66"/>
      <c r="XFD66"/>
    </row>
    <row r="67" spans="1:50 16371:16384" s="2" customForma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XEQ67"/>
      <c r="XER67"/>
      <c r="XES67"/>
      <c r="XET67"/>
      <c r="XEU67"/>
      <c r="XEV67"/>
      <c r="XEW67"/>
      <c r="XEX67"/>
      <c r="XEY67"/>
      <c r="XEZ67"/>
      <c r="XFA67"/>
      <c r="XFB67"/>
      <c r="XFC67"/>
      <c r="XFD67"/>
    </row>
    <row r="68" spans="1:50 16371:16384" s="2" customForma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XEQ68"/>
      <c r="XER68"/>
      <c r="XES68"/>
      <c r="XET68"/>
      <c r="XEU68"/>
      <c r="XEV68"/>
      <c r="XEW68"/>
      <c r="XEX68"/>
      <c r="XEY68"/>
      <c r="XEZ68"/>
      <c r="XFA68"/>
      <c r="XFB68"/>
      <c r="XFC68"/>
      <c r="XFD68"/>
    </row>
    <row r="69" spans="1:50 16371:16384" s="2" customForma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XEQ69"/>
      <c r="XER69"/>
      <c r="XES69"/>
      <c r="XET69"/>
      <c r="XEU69"/>
      <c r="XEV69"/>
      <c r="XEW69"/>
      <c r="XEX69"/>
      <c r="XEY69"/>
      <c r="XEZ69"/>
      <c r="XFA69"/>
      <c r="XFB69"/>
      <c r="XFC69"/>
      <c r="XFD69"/>
    </row>
    <row r="70" spans="1:50 16371:16384" s="2" customForma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XEQ70"/>
      <c r="XER70"/>
      <c r="XES70"/>
      <c r="XET70"/>
      <c r="XEU70"/>
      <c r="XEV70"/>
      <c r="XEW70"/>
      <c r="XEX70"/>
      <c r="XEY70"/>
      <c r="XEZ70"/>
      <c r="XFA70"/>
      <c r="XFB70"/>
      <c r="XFC70"/>
      <c r="XFD70"/>
    </row>
    <row r="71" spans="1:50 16371:16384" s="2" customForma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XEQ71"/>
      <c r="XER71"/>
      <c r="XES71"/>
      <c r="XET71"/>
      <c r="XEU71"/>
      <c r="XEV71"/>
      <c r="XEW71"/>
      <c r="XEX71"/>
      <c r="XEY71"/>
      <c r="XEZ71"/>
      <c r="XFA71"/>
      <c r="XFB71"/>
      <c r="XFC71"/>
      <c r="XFD71"/>
    </row>
    <row r="72" spans="1:50 16371:16384" s="2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XEQ72"/>
      <c r="XER72"/>
      <c r="XES72"/>
      <c r="XET72"/>
      <c r="XEU72"/>
      <c r="XEV72"/>
      <c r="XEW72"/>
      <c r="XEX72"/>
      <c r="XEY72"/>
      <c r="XEZ72"/>
      <c r="XFA72"/>
      <c r="XFB72"/>
      <c r="XFC72"/>
      <c r="XFD72"/>
    </row>
    <row r="73" spans="1:50 16371:16384" s="2" customForma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XEQ73"/>
      <c r="XER73"/>
      <c r="XES73"/>
      <c r="XET73"/>
      <c r="XEU73"/>
      <c r="XEV73"/>
      <c r="XEW73"/>
      <c r="XEX73"/>
      <c r="XEY73"/>
      <c r="XEZ73"/>
      <c r="XFA73"/>
      <c r="XFB73"/>
      <c r="XFC73"/>
      <c r="XFD73"/>
    </row>
    <row r="74" spans="1:50 16371:16384" s="2" customForma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XEQ74"/>
      <c r="XER74"/>
      <c r="XES74"/>
      <c r="XET74"/>
      <c r="XEU74"/>
      <c r="XEV74"/>
      <c r="XEW74"/>
      <c r="XEX74"/>
      <c r="XEY74"/>
      <c r="XEZ74"/>
      <c r="XFA74"/>
      <c r="XFB74"/>
      <c r="XFC74"/>
      <c r="XFD74"/>
    </row>
    <row r="75" spans="1:50 16371:16384" s="2" customForma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XEQ75"/>
      <c r="XER75"/>
      <c r="XES75"/>
      <c r="XET75"/>
      <c r="XEU75"/>
      <c r="XEV75"/>
      <c r="XEW75"/>
      <c r="XEX75"/>
      <c r="XEY75"/>
      <c r="XEZ75"/>
      <c r="XFA75"/>
      <c r="XFB75"/>
      <c r="XFC75"/>
      <c r="XFD75"/>
    </row>
    <row r="76" spans="1:50 16371:16384" s="2" customForma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XEQ76"/>
      <c r="XER76"/>
      <c r="XES76"/>
      <c r="XET76"/>
      <c r="XEU76"/>
      <c r="XEV76"/>
      <c r="XEW76"/>
      <c r="XEX76"/>
      <c r="XEY76"/>
      <c r="XEZ76"/>
      <c r="XFA76"/>
      <c r="XFB76"/>
      <c r="XFC76"/>
      <c r="XFD76"/>
    </row>
    <row r="77" spans="1:50 16371:16384" s="2" customForma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XEQ77"/>
      <c r="XER77"/>
      <c r="XES77"/>
      <c r="XET77"/>
      <c r="XEU77"/>
      <c r="XEV77"/>
      <c r="XEW77"/>
      <c r="XEX77"/>
      <c r="XEY77"/>
      <c r="XEZ77"/>
      <c r="XFA77"/>
      <c r="XFB77"/>
      <c r="XFC77"/>
      <c r="XFD77"/>
    </row>
    <row r="78" spans="1:50 16371:16384" s="2" customForma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XEQ78"/>
      <c r="XER78"/>
      <c r="XES78"/>
      <c r="XET78"/>
      <c r="XEU78"/>
      <c r="XEV78"/>
      <c r="XEW78"/>
      <c r="XEX78"/>
      <c r="XEY78"/>
      <c r="XEZ78"/>
      <c r="XFA78"/>
      <c r="XFB78"/>
      <c r="XFC78"/>
      <c r="XFD78"/>
    </row>
    <row r="79" spans="1:50 16371:16384" s="2" customForma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XEQ79"/>
      <c r="XER79"/>
      <c r="XES79"/>
      <c r="XET79"/>
      <c r="XEU79"/>
      <c r="XEV79"/>
      <c r="XEW79"/>
      <c r="XEX79"/>
      <c r="XEY79"/>
      <c r="XEZ79"/>
      <c r="XFA79"/>
      <c r="XFB79"/>
      <c r="XFC79"/>
      <c r="XFD79"/>
    </row>
    <row r="80" spans="1:50 16371:16384" s="2" customForma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XEQ80"/>
      <c r="XER80"/>
      <c r="XES80"/>
      <c r="XET80"/>
      <c r="XEU80"/>
      <c r="XEV80"/>
      <c r="XEW80"/>
      <c r="XEX80"/>
      <c r="XEY80"/>
      <c r="XEZ80"/>
      <c r="XFA80"/>
      <c r="XFB80"/>
      <c r="XFC80"/>
      <c r="XFD80"/>
    </row>
    <row r="81" spans="1:50 16371:16384" s="2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XEQ81"/>
      <c r="XER81"/>
      <c r="XES81"/>
      <c r="XET81"/>
      <c r="XEU81"/>
      <c r="XEV81"/>
      <c r="XEW81"/>
      <c r="XEX81"/>
      <c r="XEY81"/>
      <c r="XEZ81"/>
      <c r="XFA81"/>
      <c r="XFB81"/>
      <c r="XFC81"/>
      <c r="XFD81"/>
    </row>
    <row r="82" spans="1:50 16371:16384" s="2" customForma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XEQ82"/>
      <c r="XER82"/>
      <c r="XES82"/>
      <c r="XET82"/>
      <c r="XEU82"/>
      <c r="XEV82"/>
      <c r="XEW82"/>
      <c r="XEX82"/>
      <c r="XEY82"/>
      <c r="XEZ82"/>
      <c r="XFA82"/>
      <c r="XFB82"/>
      <c r="XFC82"/>
      <c r="XFD82"/>
    </row>
    <row r="83" spans="1:50 16371:16384" s="2" customForma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XEQ83"/>
      <c r="XER83"/>
      <c r="XES83"/>
      <c r="XET83"/>
      <c r="XEU83"/>
      <c r="XEV83"/>
      <c r="XEW83"/>
      <c r="XEX83"/>
      <c r="XEY83"/>
      <c r="XEZ83"/>
      <c r="XFA83"/>
      <c r="XFB83"/>
      <c r="XFC83"/>
      <c r="XFD83"/>
    </row>
    <row r="84" spans="1:50 16371:16384" s="2" customForma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XEQ84"/>
      <c r="XER84"/>
      <c r="XES84"/>
      <c r="XET84"/>
      <c r="XEU84"/>
      <c r="XEV84"/>
      <c r="XEW84"/>
      <c r="XEX84"/>
      <c r="XEY84"/>
      <c r="XEZ84"/>
      <c r="XFA84"/>
      <c r="XFB84"/>
      <c r="XFC84"/>
      <c r="XFD84"/>
    </row>
    <row r="85" spans="1:50 16371:16384" s="2" customForma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XEQ85"/>
      <c r="XER85"/>
      <c r="XES85"/>
      <c r="XET85"/>
      <c r="XEU85"/>
      <c r="XEV85"/>
      <c r="XEW85"/>
      <c r="XEX85"/>
      <c r="XEY85"/>
      <c r="XEZ85"/>
      <c r="XFA85"/>
      <c r="XFB85"/>
      <c r="XFC85"/>
      <c r="XFD85"/>
    </row>
    <row r="86" spans="1:50 16371:16384" s="2" customForma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XEQ86"/>
      <c r="XER86"/>
      <c r="XES86"/>
      <c r="XET86"/>
      <c r="XEU86"/>
      <c r="XEV86"/>
      <c r="XEW86"/>
      <c r="XEX86"/>
      <c r="XEY86"/>
      <c r="XEZ86"/>
      <c r="XFA86"/>
      <c r="XFB86"/>
      <c r="XFC86"/>
      <c r="XFD86"/>
    </row>
    <row r="87" spans="1:50 16371:16384" s="2" customForma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XEQ87"/>
      <c r="XER87"/>
      <c r="XES87"/>
      <c r="XET87"/>
      <c r="XEU87"/>
      <c r="XEV87"/>
      <c r="XEW87"/>
      <c r="XEX87"/>
      <c r="XEY87"/>
      <c r="XEZ87"/>
      <c r="XFA87"/>
      <c r="XFB87"/>
      <c r="XFC87"/>
      <c r="XFD87"/>
    </row>
    <row r="88" spans="1:50 16371:16384" s="2" customForma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XEQ88"/>
      <c r="XER88"/>
      <c r="XES88"/>
      <c r="XET88"/>
      <c r="XEU88"/>
      <c r="XEV88"/>
      <c r="XEW88"/>
      <c r="XEX88"/>
      <c r="XEY88"/>
      <c r="XEZ88"/>
      <c r="XFA88"/>
      <c r="XFB88"/>
      <c r="XFC88"/>
      <c r="XFD88"/>
    </row>
    <row r="89" spans="1:50 16371:16384" s="2" customForma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XEQ89"/>
      <c r="XER89"/>
      <c r="XES89"/>
      <c r="XET89"/>
      <c r="XEU89"/>
      <c r="XEV89"/>
      <c r="XEW89"/>
      <c r="XEX89"/>
      <c r="XEY89"/>
      <c r="XEZ89"/>
      <c r="XFA89"/>
      <c r="XFB89"/>
      <c r="XFC89"/>
      <c r="XFD89"/>
    </row>
    <row r="90" spans="1:50 16371:16384" s="2" customForma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XEQ90"/>
      <c r="XER90"/>
      <c r="XES90"/>
      <c r="XET90"/>
      <c r="XEU90"/>
      <c r="XEV90"/>
      <c r="XEW90"/>
      <c r="XEX90"/>
      <c r="XEY90"/>
      <c r="XEZ90"/>
      <c r="XFA90"/>
      <c r="XFB90"/>
      <c r="XFC90"/>
      <c r="XFD90"/>
    </row>
    <row r="91" spans="1:50 16371:16384" s="2" customForma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XEQ91"/>
      <c r="XER91"/>
      <c r="XES91"/>
      <c r="XET91"/>
      <c r="XEU91"/>
      <c r="XEV91"/>
      <c r="XEW91"/>
      <c r="XEX91"/>
      <c r="XEY91"/>
      <c r="XEZ91"/>
      <c r="XFA91"/>
      <c r="XFB91"/>
      <c r="XFC91"/>
      <c r="XFD91"/>
    </row>
    <row r="92" spans="1:50 16371:16384" s="2" customForma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XEQ92"/>
      <c r="XER92"/>
      <c r="XES92"/>
      <c r="XET92"/>
      <c r="XEU92"/>
      <c r="XEV92"/>
      <c r="XEW92"/>
      <c r="XEX92"/>
      <c r="XEY92"/>
      <c r="XEZ92"/>
      <c r="XFA92"/>
      <c r="XFB92"/>
      <c r="XFC92"/>
      <c r="XFD92"/>
    </row>
    <row r="93" spans="1:50 16371:16384" s="2" customForma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XEQ93"/>
      <c r="XER93"/>
      <c r="XES93"/>
      <c r="XET93"/>
      <c r="XEU93"/>
      <c r="XEV93"/>
      <c r="XEW93"/>
      <c r="XEX93"/>
      <c r="XEY93"/>
      <c r="XEZ93"/>
      <c r="XFA93"/>
      <c r="XFB93"/>
      <c r="XFC93"/>
      <c r="XFD93"/>
    </row>
    <row r="94" spans="1:50 16371:16384" s="2" customForma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XEQ94"/>
      <c r="XER94"/>
      <c r="XES94"/>
      <c r="XET94"/>
      <c r="XEU94"/>
      <c r="XEV94"/>
      <c r="XEW94"/>
      <c r="XEX94"/>
      <c r="XEY94"/>
      <c r="XEZ94"/>
      <c r="XFA94"/>
      <c r="XFB94"/>
      <c r="XFC94"/>
      <c r="XFD94"/>
    </row>
    <row r="95" spans="1:50 16371:16384" s="2" customForma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XEQ95"/>
      <c r="XER95"/>
      <c r="XES95"/>
      <c r="XET95"/>
      <c r="XEU95"/>
      <c r="XEV95"/>
      <c r="XEW95"/>
      <c r="XEX95"/>
      <c r="XEY95"/>
      <c r="XEZ95"/>
      <c r="XFA95"/>
      <c r="XFB95"/>
      <c r="XFC95"/>
      <c r="XFD95"/>
    </row>
    <row r="96" spans="1:50 16371:16384" s="2" customForma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XEQ96"/>
      <c r="XER96"/>
      <c r="XES96"/>
      <c r="XET96"/>
      <c r="XEU96"/>
      <c r="XEV96"/>
      <c r="XEW96"/>
      <c r="XEX96"/>
      <c r="XEY96"/>
      <c r="XEZ96"/>
      <c r="XFA96"/>
      <c r="XFB96"/>
      <c r="XFC96"/>
      <c r="XFD96"/>
    </row>
    <row r="97" spans="1:50 16371:16384" s="2" customForma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XEQ97"/>
      <c r="XER97"/>
      <c r="XES97"/>
      <c r="XET97"/>
      <c r="XEU97"/>
      <c r="XEV97"/>
      <c r="XEW97"/>
      <c r="XEX97"/>
      <c r="XEY97"/>
      <c r="XEZ97"/>
      <c r="XFA97"/>
      <c r="XFB97"/>
      <c r="XFC97"/>
      <c r="XFD97"/>
    </row>
    <row r="98" spans="1:50 16371:16384" s="2" customForma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XEQ98"/>
      <c r="XER98"/>
      <c r="XES98"/>
      <c r="XET98"/>
      <c r="XEU98"/>
      <c r="XEV98"/>
      <c r="XEW98"/>
      <c r="XEX98"/>
      <c r="XEY98"/>
      <c r="XEZ98"/>
      <c r="XFA98"/>
      <c r="XFB98"/>
      <c r="XFC98"/>
      <c r="XFD98"/>
    </row>
    <row r="99" spans="1:50 16371:16384" s="2" customForma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XEQ99"/>
      <c r="XER99"/>
      <c r="XES99"/>
      <c r="XET99"/>
      <c r="XEU99"/>
      <c r="XEV99"/>
      <c r="XEW99"/>
      <c r="XEX99"/>
      <c r="XEY99"/>
      <c r="XEZ99"/>
      <c r="XFA99"/>
      <c r="XFB99"/>
      <c r="XFC99"/>
      <c r="XFD99"/>
    </row>
    <row r="100" spans="1:50 16371:16384" s="2" customForma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XEQ100"/>
      <c r="XER100"/>
      <c r="XES100"/>
      <c r="XET100"/>
      <c r="XEU100"/>
      <c r="XEV100"/>
      <c r="XEW100"/>
      <c r="XEX100"/>
      <c r="XEY100"/>
      <c r="XEZ100"/>
      <c r="XFA100"/>
      <c r="XFB100"/>
      <c r="XFC100"/>
      <c r="XFD100"/>
    </row>
    <row r="101" spans="1:50 16371:16384" s="2" customForma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XEQ101"/>
      <c r="XER101"/>
      <c r="XES101"/>
      <c r="XET101"/>
      <c r="XEU101"/>
      <c r="XEV101"/>
      <c r="XEW101"/>
      <c r="XEX101"/>
      <c r="XEY101"/>
      <c r="XEZ101"/>
      <c r="XFA101"/>
      <c r="XFB101"/>
      <c r="XFC101"/>
      <c r="XFD101"/>
    </row>
    <row r="102" spans="1:50 16371:16384" s="2" customForma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XEQ102"/>
      <c r="XER102"/>
      <c r="XES102"/>
      <c r="XET102"/>
      <c r="XEU102"/>
      <c r="XEV102"/>
      <c r="XEW102"/>
      <c r="XEX102"/>
      <c r="XEY102"/>
      <c r="XEZ102"/>
      <c r="XFA102"/>
      <c r="XFB102"/>
      <c r="XFC102"/>
      <c r="XFD102"/>
    </row>
    <row r="103" spans="1:50 16371:16384" s="2" customForma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XEQ103"/>
      <c r="XER103"/>
      <c r="XES103"/>
      <c r="XET103"/>
      <c r="XEU103"/>
      <c r="XEV103"/>
      <c r="XEW103"/>
      <c r="XEX103"/>
      <c r="XEY103"/>
      <c r="XEZ103"/>
      <c r="XFA103"/>
      <c r="XFB103"/>
      <c r="XFC103"/>
      <c r="XFD103"/>
    </row>
    <row r="104" spans="1:50 16371:16384" s="2" customForma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XEQ104"/>
      <c r="XER104"/>
      <c r="XES104"/>
      <c r="XET104"/>
      <c r="XEU104"/>
      <c r="XEV104"/>
      <c r="XEW104"/>
      <c r="XEX104"/>
      <c r="XEY104"/>
      <c r="XEZ104"/>
      <c r="XFA104"/>
      <c r="XFB104"/>
      <c r="XFC104"/>
      <c r="XFD104"/>
    </row>
    <row r="105" spans="1:50 16371:16384" s="2" customForma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XEQ105"/>
      <c r="XER105"/>
      <c r="XES105"/>
      <c r="XET105"/>
      <c r="XEU105"/>
      <c r="XEV105"/>
      <c r="XEW105"/>
      <c r="XEX105"/>
      <c r="XEY105"/>
      <c r="XEZ105"/>
      <c r="XFA105"/>
      <c r="XFB105"/>
      <c r="XFC105"/>
      <c r="XFD105"/>
    </row>
    <row r="106" spans="1:50 16371:16384" s="2" customForma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XEQ106"/>
      <c r="XER106"/>
      <c r="XES106"/>
      <c r="XET106"/>
      <c r="XEU106"/>
      <c r="XEV106"/>
      <c r="XEW106"/>
      <c r="XEX106"/>
      <c r="XEY106"/>
      <c r="XEZ106"/>
      <c r="XFA106"/>
      <c r="XFB106"/>
      <c r="XFC106"/>
      <c r="XFD106"/>
    </row>
    <row r="107" spans="1:50 16371:16384" s="2" customForma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XEQ107"/>
      <c r="XER107"/>
      <c r="XES107"/>
      <c r="XET107"/>
      <c r="XEU107"/>
      <c r="XEV107"/>
      <c r="XEW107"/>
      <c r="XEX107"/>
      <c r="XEY107"/>
      <c r="XEZ107"/>
      <c r="XFA107"/>
      <c r="XFB107"/>
      <c r="XFC107"/>
      <c r="XFD107"/>
    </row>
    <row r="108" spans="1:50 16371:16384" s="2" customForma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XEQ108"/>
      <c r="XER108"/>
      <c r="XES108"/>
      <c r="XET108"/>
      <c r="XEU108"/>
      <c r="XEV108"/>
      <c r="XEW108"/>
      <c r="XEX108"/>
      <c r="XEY108"/>
      <c r="XEZ108"/>
      <c r="XFA108"/>
      <c r="XFB108"/>
      <c r="XFC108"/>
      <c r="XFD108"/>
    </row>
    <row r="109" spans="1:50 16371:16384" s="2" customForma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XEQ109"/>
      <c r="XER109"/>
      <c r="XES109"/>
      <c r="XET109"/>
      <c r="XEU109"/>
      <c r="XEV109"/>
      <c r="XEW109"/>
      <c r="XEX109"/>
      <c r="XEY109"/>
      <c r="XEZ109"/>
      <c r="XFA109"/>
      <c r="XFB109"/>
      <c r="XFC109"/>
      <c r="XFD109"/>
    </row>
    <row r="110" spans="1:50 16371:16384" s="2" customForma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XEQ110"/>
      <c r="XER110"/>
      <c r="XES110"/>
      <c r="XET110"/>
      <c r="XEU110"/>
      <c r="XEV110"/>
      <c r="XEW110"/>
      <c r="XEX110"/>
      <c r="XEY110"/>
      <c r="XEZ110"/>
      <c r="XFA110"/>
      <c r="XFB110"/>
      <c r="XFC110"/>
      <c r="XFD110"/>
    </row>
    <row r="111" spans="1:50 16371:16384" s="2" customForma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XEQ111"/>
      <c r="XER111"/>
      <c r="XES111"/>
      <c r="XET111"/>
      <c r="XEU111"/>
      <c r="XEV111"/>
      <c r="XEW111"/>
      <c r="XEX111"/>
      <c r="XEY111"/>
      <c r="XEZ111"/>
      <c r="XFA111"/>
      <c r="XFB111"/>
      <c r="XFC111"/>
      <c r="XFD111"/>
    </row>
    <row r="112" spans="1:50 16371:16384" s="2" customForma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XEQ112"/>
      <c r="XER112"/>
      <c r="XES112"/>
      <c r="XET112"/>
      <c r="XEU112"/>
      <c r="XEV112"/>
      <c r="XEW112"/>
      <c r="XEX112"/>
      <c r="XEY112"/>
      <c r="XEZ112"/>
      <c r="XFA112"/>
      <c r="XFB112"/>
      <c r="XFC112"/>
      <c r="XFD112"/>
    </row>
    <row r="113" spans="1:50 16371:16384" s="2" customForma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XEQ113"/>
      <c r="XER113"/>
      <c r="XES113"/>
      <c r="XET113"/>
      <c r="XEU113"/>
      <c r="XEV113"/>
      <c r="XEW113"/>
      <c r="XEX113"/>
      <c r="XEY113"/>
      <c r="XEZ113"/>
      <c r="XFA113"/>
      <c r="XFB113"/>
      <c r="XFC113"/>
      <c r="XFD113"/>
    </row>
    <row r="114" spans="1:50 16371:16384" s="2" customForma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XEQ114"/>
      <c r="XER114"/>
      <c r="XES114"/>
      <c r="XET114"/>
      <c r="XEU114"/>
      <c r="XEV114"/>
      <c r="XEW114"/>
      <c r="XEX114"/>
      <c r="XEY114"/>
      <c r="XEZ114"/>
      <c r="XFA114"/>
      <c r="XFB114"/>
      <c r="XFC114"/>
      <c r="XFD114"/>
    </row>
    <row r="115" spans="1:50 16371:16384" s="2" customForma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XEQ115"/>
      <c r="XER115"/>
      <c r="XES115"/>
      <c r="XET115"/>
      <c r="XEU115"/>
      <c r="XEV115"/>
      <c r="XEW115"/>
      <c r="XEX115"/>
      <c r="XEY115"/>
      <c r="XEZ115"/>
      <c r="XFA115"/>
      <c r="XFB115"/>
      <c r="XFC115"/>
      <c r="XFD115"/>
    </row>
    <row r="116" spans="1:50 16371:16384" s="2" customForma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XEQ116"/>
      <c r="XER116"/>
      <c r="XES116"/>
      <c r="XET116"/>
      <c r="XEU116"/>
      <c r="XEV116"/>
      <c r="XEW116"/>
      <c r="XEX116"/>
      <c r="XEY116"/>
      <c r="XEZ116"/>
      <c r="XFA116"/>
      <c r="XFB116"/>
      <c r="XFC116"/>
      <c r="XFD116"/>
    </row>
    <row r="117" spans="1:50 16371:16384" s="2" customForma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XEQ117"/>
      <c r="XER117"/>
      <c r="XES117"/>
      <c r="XET117"/>
      <c r="XEU117"/>
      <c r="XEV117"/>
      <c r="XEW117"/>
      <c r="XEX117"/>
      <c r="XEY117"/>
      <c r="XEZ117"/>
      <c r="XFA117"/>
      <c r="XFB117"/>
      <c r="XFC117"/>
      <c r="XFD117"/>
    </row>
    <row r="118" spans="1:50 16371:16384" s="2" customForma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XEQ118"/>
      <c r="XER118"/>
      <c r="XES118"/>
      <c r="XET118"/>
      <c r="XEU118"/>
      <c r="XEV118"/>
      <c r="XEW118"/>
      <c r="XEX118"/>
      <c r="XEY118"/>
      <c r="XEZ118"/>
      <c r="XFA118"/>
      <c r="XFB118"/>
      <c r="XFC118"/>
      <c r="XFD118"/>
    </row>
    <row r="119" spans="1:50 16371:16384" s="2" customForma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XEQ119"/>
      <c r="XER119"/>
      <c r="XES119"/>
      <c r="XET119"/>
      <c r="XEU119"/>
      <c r="XEV119"/>
      <c r="XEW119"/>
      <c r="XEX119"/>
      <c r="XEY119"/>
      <c r="XEZ119"/>
      <c r="XFA119"/>
      <c r="XFB119"/>
      <c r="XFC119"/>
      <c r="XFD119"/>
    </row>
    <row r="120" spans="1:50 16371:16384" s="2" customForma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XEQ120"/>
      <c r="XER120"/>
      <c r="XES120"/>
      <c r="XET120"/>
      <c r="XEU120"/>
      <c r="XEV120"/>
      <c r="XEW120"/>
      <c r="XEX120"/>
      <c r="XEY120"/>
      <c r="XEZ120"/>
      <c r="XFA120"/>
      <c r="XFB120"/>
      <c r="XFC120"/>
      <c r="XFD120"/>
    </row>
    <row r="121" spans="1:50 16371:16384" s="2" customForma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XEQ121"/>
      <c r="XER121"/>
      <c r="XES121"/>
      <c r="XET121"/>
      <c r="XEU121"/>
      <c r="XEV121"/>
      <c r="XEW121"/>
      <c r="XEX121"/>
      <c r="XEY121"/>
      <c r="XEZ121"/>
      <c r="XFA121"/>
      <c r="XFB121"/>
      <c r="XFC121"/>
      <c r="XFD121"/>
    </row>
    <row r="122" spans="1:50 16371:16384" s="2" customForma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XEQ122"/>
      <c r="XER122"/>
      <c r="XES122"/>
      <c r="XET122"/>
      <c r="XEU122"/>
      <c r="XEV122"/>
      <c r="XEW122"/>
      <c r="XEX122"/>
      <c r="XEY122"/>
      <c r="XEZ122"/>
      <c r="XFA122"/>
      <c r="XFB122"/>
      <c r="XFC122"/>
      <c r="XFD122"/>
    </row>
    <row r="123" spans="1:50 16371:16384" s="2" customForma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XEQ123"/>
      <c r="XER123"/>
      <c r="XES123"/>
      <c r="XET123"/>
      <c r="XEU123"/>
      <c r="XEV123"/>
      <c r="XEW123"/>
      <c r="XEX123"/>
      <c r="XEY123"/>
      <c r="XEZ123"/>
      <c r="XFA123"/>
      <c r="XFB123"/>
      <c r="XFC123"/>
      <c r="XFD123"/>
    </row>
    <row r="124" spans="1:50 16371:16384" s="2" customForma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XEQ124"/>
      <c r="XER124"/>
      <c r="XES124"/>
      <c r="XET124"/>
      <c r="XEU124"/>
      <c r="XEV124"/>
      <c r="XEW124"/>
      <c r="XEX124"/>
      <c r="XEY124"/>
      <c r="XEZ124"/>
      <c r="XFA124"/>
      <c r="XFB124"/>
      <c r="XFC124"/>
      <c r="XFD124"/>
    </row>
    <row r="125" spans="1:50 16371:16384" s="2" customForma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XEQ125"/>
      <c r="XER125"/>
      <c r="XES125"/>
      <c r="XET125"/>
      <c r="XEU125"/>
      <c r="XEV125"/>
      <c r="XEW125"/>
      <c r="XEX125"/>
      <c r="XEY125"/>
      <c r="XEZ125"/>
      <c r="XFA125"/>
      <c r="XFB125"/>
      <c r="XFC125"/>
      <c r="XFD125"/>
    </row>
    <row r="126" spans="1:50 16371:16384" s="2" customForma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XEQ126"/>
      <c r="XER126"/>
      <c r="XES126"/>
      <c r="XET126"/>
      <c r="XEU126"/>
      <c r="XEV126"/>
      <c r="XEW126"/>
      <c r="XEX126"/>
      <c r="XEY126"/>
      <c r="XEZ126"/>
      <c r="XFA126"/>
      <c r="XFB126"/>
      <c r="XFC126"/>
      <c r="XFD126"/>
    </row>
    <row r="127" spans="1:50 16371:16384" s="2" customForma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XEQ127"/>
      <c r="XER127"/>
      <c r="XES127"/>
      <c r="XET127"/>
      <c r="XEU127"/>
      <c r="XEV127"/>
      <c r="XEW127"/>
      <c r="XEX127"/>
      <c r="XEY127"/>
      <c r="XEZ127"/>
      <c r="XFA127"/>
      <c r="XFB127"/>
      <c r="XFC127"/>
      <c r="XFD127"/>
    </row>
    <row r="128" spans="1:50 16371:16384" s="2" customForma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XEQ128"/>
      <c r="XER128"/>
      <c r="XES128"/>
      <c r="XET128"/>
      <c r="XEU128"/>
      <c r="XEV128"/>
      <c r="XEW128"/>
      <c r="XEX128"/>
      <c r="XEY128"/>
      <c r="XEZ128"/>
      <c r="XFA128"/>
      <c r="XFB128"/>
      <c r="XFC128"/>
      <c r="XFD128"/>
    </row>
    <row r="129" spans="1:50 16371:16384" s="2" customForma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XEQ129"/>
      <c r="XER129"/>
      <c r="XES129"/>
      <c r="XET129"/>
      <c r="XEU129"/>
      <c r="XEV129"/>
      <c r="XEW129"/>
      <c r="XEX129"/>
      <c r="XEY129"/>
      <c r="XEZ129"/>
      <c r="XFA129"/>
      <c r="XFB129"/>
      <c r="XFC129"/>
      <c r="XFD129"/>
    </row>
    <row r="130" spans="1:50 16371:16384" s="2" customForma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XEQ130"/>
      <c r="XER130"/>
      <c r="XES130"/>
      <c r="XET130"/>
      <c r="XEU130"/>
      <c r="XEV130"/>
      <c r="XEW130"/>
      <c r="XEX130"/>
      <c r="XEY130"/>
      <c r="XEZ130"/>
      <c r="XFA130"/>
      <c r="XFB130"/>
      <c r="XFC130"/>
      <c r="XFD130"/>
    </row>
    <row r="131" spans="1:50 16371:16384" s="2" customForma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XEQ131"/>
      <c r="XER131"/>
      <c r="XES131"/>
      <c r="XET131"/>
      <c r="XEU131"/>
      <c r="XEV131"/>
      <c r="XEW131"/>
      <c r="XEX131"/>
      <c r="XEY131"/>
      <c r="XEZ131"/>
      <c r="XFA131"/>
      <c r="XFB131"/>
      <c r="XFC131"/>
      <c r="XFD131"/>
    </row>
    <row r="132" spans="1:50 16371:16384" s="2" customForma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XEQ132"/>
      <c r="XER132"/>
      <c r="XES132"/>
      <c r="XET132"/>
      <c r="XEU132"/>
      <c r="XEV132"/>
      <c r="XEW132"/>
      <c r="XEX132"/>
      <c r="XEY132"/>
      <c r="XEZ132"/>
      <c r="XFA132"/>
      <c r="XFB132"/>
      <c r="XFC132"/>
      <c r="XFD132"/>
    </row>
    <row r="133" spans="1:50 16371:16384" s="2" customForma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XEQ133"/>
      <c r="XER133"/>
      <c r="XES133"/>
      <c r="XET133"/>
      <c r="XEU133"/>
      <c r="XEV133"/>
      <c r="XEW133"/>
      <c r="XEX133"/>
      <c r="XEY133"/>
      <c r="XEZ133"/>
      <c r="XFA133"/>
      <c r="XFB133"/>
      <c r="XFC133"/>
      <c r="XFD133"/>
    </row>
    <row r="134" spans="1:50 16371:16384" s="2" customForma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XEQ134"/>
      <c r="XER134"/>
      <c r="XES134"/>
      <c r="XET134"/>
      <c r="XEU134"/>
      <c r="XEV134"/>
      <c r="XEW134"/>
      <c r="XEX134"/>
      <c r="XEY134"/>
      <c r="XEZ134"/>
      <c r="XFA134"/>
      <c r="XFB134"/>
      <c r="XFC134"/>
      <c r="XFD134"/>
    </row>
    <row r="135" spans="1:50 16371:16384" s="2" customForma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XEQ135"/>
      <c r="XER135"/>
      <c r="XES135"/>
      <c r="XET135"/>
      <c r="XEU135"/>
      <c r="XEV135"/>
      <c r="XEW135"/>
      <c r="XEX135"/>
      <c r="XEY135"/>
      <c r="XEZ135"/>
      <c r="XFA135"/>
      <c r="XFB135"/>
      <c r="XFC135"/>
      <c r="XFD135"/>
    </row>
    <row r="136" spans="1:50 16371:16384" s="2" customForma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XEQ136"/>
      <c r="XER136"/>
      <c r="XES136"/>
      <c r="XET136"/>
      <c r="XEU136"/>
      <c r="XEV136"/>
      <c r="XEW136"/>
      <c r="XEX136"/>
      <c r="XEY136"/>
      <c r="XEZ136"/>
      <c r="XFA136"/>
      <c r="XFB136"/>
      <c r="XFC136"/>
      <c r="XFD136"/>
    </row>
    <row r="137" spans="1:50 16371:16384" s="2" customForma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XEQ137"/>
      <c r="XER137"/>
      <c r="XES137"/>
      <c r="XET137"/>
      <c r="XEU137"/>
      <c r="XEV137"/>
      <c r="XEW137"/>
      <c r="XEX137"/>
      <c r="XEY137"/>
      <c r="XEZ137"/>
      <c r="XFA137"/>
      <c r="XFB137"/>
      <c r="XFC137"/>
      <c r="XFD137"/>
    </row>
    <row r="138" spans="1:50 16371:16384" s="2" customForma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XEQ138"/>
      <c r="XER138"/>
      <c r="XES138"/>
      <c r="XET138"/>
      <c r="XEU138"/>
      <c r="XEV138"/>
      <c r="XEW138"/>
      <c r="XEX138"/>
      <c r="XEY138"/>
      <c r="XEZ138"/>
      <c r="XFA138"/>
      <c r="XFB138"/>
      <c r="XFC138"/>
      <c r="XFD138"/>
    </row>
    <row r="139" spans="1:50 16371:16384" s="2" customForma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XEQ139"/>
      <c r="XER139"/>
      <c r="XES139"/>
      <c r="XET139"/>
      <c r="XEU139"/>
      <c r="XEV139"/>
      <c r="XEW139"/>
      <c r="XEX139"/>
      <c r="XEY139"/>
      <c r="XEZ139"/>
      <c r="XFA139"/>
      <c r="XFB139"/>
      <c r="XFC139"/>
      <c r="XFD139"/>
    </row>
    <row r="140" spans="1:50 16371:16384" s="2" customForma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XEQ140"/>
      <c r="XER140"/>
      <c r="XES140"/>
      <c r="XET140"/>
      <c r="XEU140"/>
      <c r="XEV140"/>
      <c r="XEW140"/>
      <c r="XEX140"/>
      <c r="XEY140"/>
      <c r="XEZ140"/>
      <c r="XFA140"/>
      <c r="XFB140"/>
      <c r="XFC140"/>
      <c r="XFD140"/>
    </row>
    <row r="141" spans="1:50 16371:16384" s="2" customForma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XEQ141"/>
      <c r="XER141"/>
      <c r="XES141"/>
      <c r="XET141"/>
      <c r="XEU141"/>
      <c r="XEV141"/>
      <c r="XEW141"/>
      <c r="XEX141"/>
      <c r="XEY141"/>
      <c r="XEZ141"/>
      <c r="XFA141"/>
      <c r="XFB141"/>
      <c r="XFC141"/>
      <c r="XFD141"/>
    </row>
    <row r="142" spans="1:50 16371:16384" s="2" customForma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XEQ142"/>
      <c r="XER142"/>
      <c r="XES142"/>
      <c r="XET142"/>
      <c r="XEU142"/>
      <c r="XEV142"/>
      <c r="XEW142"/>
      <c r="XEX142"/>
      <c r="XEY142"/>
      <c r="XEZ142"/>
      <c r="XFA142"/>
      <c r="XFB142"/>
      <c r="XFC142"/>
      <c r="XFD142"/>
    </row>
    <row r="143" spans="1:50 16371:16384" s="2" customForma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XEQ143"/>
      <c r="XER143"/>
      <c r="XES143"/>
      <c r="XET143"/>
      <c r="XEU143"/>
      <c r="XEV143"/>
      <c r="XEW143"/>
      <c r="XEX143"/>
      <c r="XEY143"/>
      <c r="XEZ143"/>
      <c r="XFA143"/>
      <c r="XFB143"/>
      <c r="XFC143"/>
      <c r="XFD143"/>
    </row>
    <row r="144" spans="1:50 16371:16384" s="2" customForma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XEQ144"/>
      <c r="XER144"/>
      <c r="XES144"/>
      <c r="XET144"/>
      <c r="XEU144"/>
      <c r="XEV144"/>
      <c r="XEW144"/>
      <c r="XEX144"/>
      <c r="XEY144"/>
      <c r="XEZ144"/>
      <c r="XFA144"/>
      <c r="XFB144"/>
      <c r="XFC144"/>
      <c r="XFD144"/>
    </row>
    <row r="145" spans="1:50 16371:16384" s="2" customForma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XEQ145"/>
      <c r="XER145"/>
      <c r="XES145"/>
      <c r="XET145"/>
      <c r="XEU145"/>
      <c r="XEV145"/>
      <c r="XEW145"/>
      <c r="XEX145"/>
      <c r="XEY145"/>
      <c r="XEZ145"/>
      <c r="XFA145"/>
      <c r="XFB145"/>
      <c r="XFC145"/>
      <c r="XFD145"/>
    </row>
    <row r="146" spans="1:50 16371:16384" s="2" customForma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XEQ146"/>
      <c r="XER146"/>
      <c r="XES146"/>
      <c r="XET146"/>
      <c r="XEU146"/>
      <c r="XEV146"/>
      <c r="XEW146"/>
      <c r="XEX146"/>
      <c r="XEY146"/>
      <c r="XEZ146"/>
      <c r="XFA146"/>
      <c r="XFB146"/>
      <c r="XFC146"/>
      <c r="XFD146"/>
    </row>
    <row r="147" spans="1:50 16371:16384" s="2" customForma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XEQ147"/>
      <c r="XER147"/>
      <c r="XES147"/>
      <c r="XET147"/>
      <c r="XEU147"/>
      <c r="XEV147"/>
      <c r="XEW147"/>
      <c r="XEX147"/>
      <c r="XEY147"/>
      <c r="XEZ147"/>
      <c r="XFA147"/>
      <c r="XFB147"/>
      <c r="XFC147"/>
      <c r="XFD147"/>
    </row>
    <row r="148" spans="1:50 16371:16384" s="2" customForma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XEQ148"/>
      <c r="XER148"/>
      <c r="XES148"/>
      <c r="XET148"/>
      <c r="XEU148"/>
      <c r="XEV148"/>
      <c r="XEW148"/>
      <c r="XEX148"/>
      <c r="XEY148"/>
      <c r="XEZ148"/>
      <c r="XFA148"/>
      <c r="XFB148"/>
      <c r="XFC148"/>
      <c r="XFD148"/>
    </row>
    <row r="149" spans="1:50 16371:16384" s="2" customForma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XEQ149"/>
      <c r="XER149"/>
      <c r="XES149"/>
      <c r="XET149"/>
      <c r="XEU149"/>
      <c r="XEV149"/>
      <c r="XEW149"/>
      <c r="XEX149"/>
      <c r="XEY149"/>
      <c r="XEZ149"/>
      <c r="XFA149"/>
      <c r="XFB149"/>
      <c r="XFC149"/>
      <c r="XFD149"/>
    </row>
    <row r="150" spans="1:50 16371:16384" s="2" customForma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XEQ150"/>
      <c r="XER150"/>
      <c r="XES150"/>
      <c r="XET150"/>
      <c r="XEU150"/>
      <c r="XEV150"/>
      <c r="XEW150"/>
      <c r="XEX150"/>
      <c r="XEY150"/>
      <c r="XEZ150"/>
      <c r="XFA150"/>
      <c r="XFB150"/>
      <c r="XFC150"/>
      <c r="XFD150"/>
    </row>
    <row r="151" spans="1:50 16371:16384" s="2" customForma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XEQ151"/>
      <c r="XER151"/>
      <c r="XES151"/>
      <c r="XET151"/>
      <c r="XEU151"/>
      <c r="XEV151"/>
      <c r="XEW151"/>
      <c r="XEX151"/>
      <c r="XEY151"/>
      <c r="XEZ151"/>
      <c r="XFA151"/>
      <c r="XFB151"/>
      <c r="XFC151"/>
      <c r="XFD151"/>
    </row>
    <row r="152" spans="1:50 16371:16384" s="2" customForma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XEQ152"/>
      <c r="XER152"/>
      <c r="XES152"/>
      <c r="XET152"/>
      <c r="XEU152"/>
      <c r="XEV152"/>
      <c r="XEW152"/>
      <c r="XEX152"/>
      <c r="XEY152"/>
      <c r="XEZ152"/>
      <c r="XFA152"/>
      <c r="XFB152"/>
      <c r="XFC152"/>
      <c r="XFD152"/>
    </row>
    <row r="153" spans="1:50 16371:16384" s="2" customForma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XEQ153"/>
      <c r="XER153"/>
      <c r="XES153"/>
      <c r="XET153"/>
      <c r="XEU153"/>
      <c r="XEV153"/>
      <c r="XEW153"/>
      <c r="XEX153"/>
      <c r="XEY153"/>
      <c r="XEZ153"/>
      <c r="XFA153"/>
      <c r="XFB153"/>
      <c r="XFC153"/>
      <c r="XFD153"/>
    </row>
    <row r="154" spans="1:50 16371:16384" s="2" customForma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XEQ154"/>
      <c r="XER154"/>
      <c r="XES154"/>
      <c r="XET154"/>
      <c r="XEU154"/>
      <c r="XEV154"/>
      <c r="XEW154"/>
      <c r="XEX154"/>
      <c r="XEY154"/>
      <c r="XEZ154"/>
      <c r="XFA154"/>
      <c r="XFB154"/>
      <c r="XFC154"/>
      <c r="XFD154"/>
    </row>
    <row r="155" spans="1:50 16371:16384" s="2" customForma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XEQ155"/>
      <c r="XER155"/>
      <c r="XES155"/>
      <c r="XET155"/>
      <c r="XEU155"/>
      <c r="XEV155"/>
      <c r="XEW155"/>
      <c r="XEX155"/>
      <c r="XEY155"/>
      <c r="XEZ155"/>
      <c r="XFA155"/>
      <c r="XFB155"/>
      <c r="XFC155"/>
      <c r="XFD155"/>
    </row>
    <row r="156" spans="1:50 16371:16384" s="2" customForma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XEQ156"/>
      <c r="XER156"/>
      <c r="XES156"/>
      <c r="XET156"/>
      <c r="XEU156"/>
      <c r="XEV156"/>
      <c r="XEW156"/>
      <c r="XEX156"/>
      <c r="XEY156"/>
      <c r="XEZ156"/>
      <c r="XFA156"/>
      <c r="XFB156"/>
      <c r="XFC156"/>
      <c r="XFD156"/>
    </row>
    <row r="157" spans="1:50 16371:16384" s="2" customForma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XEQ157"/>
      <c r="XER157"/>
      <c r="XES157"/>
      <c r="XET157"/>
      <c r="XEU157"/>
      <c r="XEV157"/>
      <c r="XEW157"/>
      <c r="XEX157"/>
      <c r="XEY157"/>
      <c r="XEZ157"/>
      <c r="XFA157"/>
      <c r="XFB157"/>
      <c r="XFC157"/>
      <c r="XFD157"/>
    </row>
    <row r="158" spans="1:50 16371:16384" s="2" customForma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XEQ158"/>
      <c r="XER158"/>
      <c r="XES158"/>
      <c r="XET158"/>
      <c r="XEU158"/>
      <c r="XEV158"/>
      <c r="XEW158"/>
      <c r="XEX158"/>
      <c r="XEY158"/>
      <c r="XEZ158"/>
      <c r="XFA158"/>
      <c r="XFB158"/>
      <c r="XFC158"/>
      <c r="XFD158"/>
    </row>
    <row r="159" spans="1:50 16371:16384" s="2" customForma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XEQ159"/>
      <c r="XER159"/>
      <c r="XES159"/>
      <c r="XET159"/>
      <c r="XEU159"/>
      <c r="XEV159"/>
      <c r="XEW159"/>
      <c r="XEX159"/>
      <c r="XEY159"/>
      <c r="XEZ159"/>
      <c r="XFA159"/>
      <c r="XFB159"/>
      <c r="XFC159"/>
      <c r="XFD159"/>
    </row>
    <row r="160" spans="1:50 16371:16384" s="2" customForma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XEQ160"/>
      <c r="XER160"/>
      <c r="XES160"/>
      <c r="XET160"/>
      <c r="XEU160"/>
      <c r="XEV160"/>
      <c r="XEW160"/>
      <c r="XEX160"/>
      <c r="XEY160"/>
      <c r="XEZ160"/>
      <c r="XFA160"/>
      <c r="XFB160"/>
      <c r="XFC160"/>
      <c r="XFD160"/>
    </row>
    <row r="161" spans="1:50 16371:16384" s="2" customForma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XEQ161"/>
      <c r="XER161"/>
      <c r="XES161"/>
      <c r="XET161"/>
      <c r="XEU161"/>
      <c r="XEV161"/>
      <c r="XEW161"/>
      <c r="XEX161"/>
      <c r="XEY161"/>
      <c r="XEZ161"/>
      <c r="XFA161"/>
      <c r="XFB161"/>
      <c r="XFC161"/>
      <c r="XFD161"/>
    </row>
    <row r="162" spans="1:50 16371:16384" s="2" customForma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XEQ162"/>
      <c r="XER162"/>
      <c r="XES162"/>
      <c r="XET162"/>
      <c r="XEU162"/>
      <c r="XEV162"/>
      <c r="XEW162"/>
      <c r="XEX162"/>
      <c r="XEY162"/>
      <c r="XEZ162"/>
      <c r="XFA162"/>
      <c r="XFB162"/>
      <c r="XFC162"/>
      <c r="XFD162"/>
    </row>
    <row r="163" spans="1:50 16371:16384" s="2" customForma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XEQ163"/>
      <c r="XER163"/>
      <c r="XES163"/>
      <c r="XET163"/>
      <c r="XEU163"/>
      <c r="XEV163"/>
      <c r="XEW163"/>
      <c r="XEX163"/>
      <c r="XEY163"/>
      <c r="XEZ163"/>
      <c r="XFA163"/>
      <c r="XFB163"/>
      <c r="XFC163"/>
      <c r="XFD163"/>
    </row>
    <row r="164" spans="1:50 16371:16384" s="2" customForma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XEQ164"/>
      <c r="XER164"/>
      <c r="XES164"/>
      <c r="XET164"/>
      <c r="XEU164"/>
      <c r="XEV164"/>
      <c r="XEW164"/>
      <c r="XEX164"/>
      <c r="XEY164"/>
      <c r="XEZ164"/>
      <c r="XFA164"/>
      <c r="XFB164"/>
      <c r="XFC164"/>
      <c r="XFD164"/>
    </row>
    <row r="165" spans="1:50 16371:16384" s="2" customForma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XEQ165"/>
      <c r="XER165"/>
      <c r="XES165"/>
      <c r="XET165"/>
      <c r="XEU165"/>
      <c r="XEV165"/>
      <c r="XEW165"/>
      <c r="XEX165"/>
      <c r="XEY165"/>
      <c r="XEZ165"/>
      <c r="XFA165"/>
      <c r="XFB165"/>
      <c r="XFC165"/>
      <c r="XFD165"/>
    </row>
    <row r="166" spans="1:50 16371:16384" s="2" customForma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XEQ166"/>
      <c r="XER166"/>
      <c r="XES166"/>
      <c r="XET166"/>
      <c r="XEU166"/>
      <c r="XEV166"/>
      <c r="XEW166"/>
      <c r="XEX166"/>
      <c r="XEY166"/>
      <c r="XEZ166"/>
      <c r="XFA166"/>
      <c r="XFB166"/>
      <c r="XFC166"/>
      <c r="XFD166"/>
    </row>
    <row r="167" spans="1:50 16371:16384" s="2" customForma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XEQ167"/>
      <c r="XER167"/>
      <c r="XES167"/>
      <c r="XET167"/>
      <c r="XEU167"/>
      <c r="XEV167"/>
      <c r="XEW167"/>
      <c r="XEX167"/>
      <c r="XEY167"/>
      <c r="XEZ167"/>
      <c r="XFA167"/>
      <c r="XFB167"/>
      <c r="XFC167"/>
      <c r="XFD167"/>
    </row>
    <row r="168" spans="1:50 16371:16384" s="2" customForma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XEQ168"/>
      <c r="XER168"/>
      <c r="XES168"/>
      <c r="XET168"/>
      <c r="XEU168"/>
      <c r="XEV168"/>
      <c r="XEW168"/>
      <c r="XEX168"/>
      <c r="XEY168"/>
      <c r="XEZ168"/>
      <c r="XFA168"/>
      <c r="XFB168"/>
      <c r="XFC168"/>
      <c r="XFD168"/>
    </row>
    <row r="169" spans="1:50 16371:16384" s="2" customForma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XEQ169"/>
      <c r="XER169"/>
      <c r="XES169"/>
      <c r="XET169"/>
      <c r="XEU169"/>
      <c r="XEV169"/>
      <c r="XEW169"/>
      <c r="XEX169"/>
      <c r="XEY169"/>
      <c r="XEZ169"/>
      <c r="XFA169"/>
      <c r="XFB169"/>
      <c r="XFC169"/>
      <c r="XFD169"/>
    </row>
    <row r="170" spans="1:50 16371:16384" s="2" customForma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XEQ170"/>
      <c r="XER170"/>
      <c r="XES170"/>
      <c r="XET170"/>
      <c r="XEU170"/>
      <c r="XEV170"/>
      <c r="XEW170"/>
      <c r="XEX170"/>
      <c r="XEY170"/>
      <c r="XEZ170"/>
      <c r="XFA170"/>
      <c r="XFB170"/>
      <c r="XFC170"/>
      <c r="XFD170"/>
    </row>
    <row r="171" spans="1:50 16371:16384" s="2" customForma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XEQ171"/>
      <c r="XER171"/>
      <c r="XES171"/>
      <c r="XET171"/>
      <c r="XEU171"/>
      <c r="XEV171"/>
      <c r="XEW171"/>
      <c r="XEX171"/>
      <c r="XEY171"/>
      <c r="XEZ171"/>
      <c r="XFA171"/>
      <c r="XFB171"/>
      <c r="XFC171"/>
      <c r="XFD171"/>
    </row>
    <row r="172" spans="1:50 16371:16384" s="2" customForma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XEQ172"/>
      <c r="XER172"/>
      <c r="XES172"/>
      <c r="XET172"/>
      <c r="XEU172"/>
      <c r="XEV172"/>
      <c r="XEW172"/>
      <c r="XEX172"/>
      <c r="XEY172"/>
      <c r="XEZ172"/>
      <c r="XFA172"/>
      <c r="XFB172"/>
      <c r="XFC172"/>
      <c r="XFD172"/>
    </row>
    <row r="173" spans="1:50 16371:16384" s="2" customForma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XEQ173"/>
      <c r="XER173"/>
      <c r="XES173"/>
      <c r="XET173"/>
      <c r="XEU173"/>
      <c r="XEV173"/>
      <c r="XEW173"/>
      <c r="XEX173"/>
      <c r="XEY173"/>
      <c r="XEZ173"/>
      <c r="XFA173"/>
      <c r="XFB173"/>
      <c r="XFC173"/>
      <c r="XFD173"/>
    </row>
    <row r="174" spans="1:50 16371:16384" s="2" customForma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XEQ174"/>
      <c r="XER174"/>
      <c r="XES174"/>
      <c r="XET174"/>
      <c r="XEU174"/>
      <c r="XEV174"/>
      <c r="XEW174"/>
      <c r="XEX174"/>
      <c r="XEY174"/>
      <c r="XEZ174"/>
      <c r="XFA174"/>
      <c r="XFB174"/>
      <c r="XFC174"/>
      <c r="XFD174"/>
    </row>
    <row r="175" spans="1:50 16371:16384" s="2" customForma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XEQ175"/>
      <c r="XER175"/>
      <c r="XES175"/>
      <c r="XET175"/>
      <c r="XEU175"/>
      <c r="XEV175"/>
      <c r="XEW175"/>
      <c r="XEX175"/>
      <c r="XEY175"/>
      <c r="XEZ175"/>
      <c r="XFA175"/>
      <c r="XFB175"/>
      <c r="XFC175"/>
      <c r="XFD175"/>
    </row>
    <row r="176" spans="1:50 16371:16384" s="2" customForma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XEQ176"/>
      <c r="XER176"/>
      <c r="XES176"/>
      <c r="XET176"/>
      <c r="XEU176"/>
      <c r="XEV176"/>
      <c r="XEW176"/>
      <c r="XEX176"/>
      <c r="XEY176"/>
      <c r="XEZ176"/>
      <c r="XFA176"/>
      <c r="XFB176"/>
      <c r="XFC176"/>
      <c r="XFD176"/>
    </row>
    <row r="177" spans="1:50 16371:16384" s="2" customForma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XEQ177"/>
      <c r="XER177"/>
      <c r="XES177"/>
      <c r="XET177"/>
      <c r="XEU177"/>
      <c r="XEV177"/>
      <c r="XEW177"/>
      <c r="XEX177"/>
      <c r="XEY177"/>
      <c r="XEZ177"/>
      <c r="XFA177"/>
      <c r="XFB177"/>
      <c r="XFC177"/>
      <c r="XFD177"/>
    </row>
    <row r="178" spans="1:50 16371:16384" s="2" customForma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XEQ178"/>
      <c r="XER178"/>
      <c r="XES178"/>
      <c r="XET178"/>
      <c r="XEU178"/>
      <c r="XEV178"/>
      <c r="XEW178"/>
      <c r="XEX178"/>
      <c r="XEY178"/>
      <c r="XEZ178"/>
      <c r="XFA178"/>
      <c r="XFB178"/>
      <c r="XFC178"/>
      <c r="XFD178"/>
    </row>
    <row r="179" spans="1:50 16371:16384" s="2" customForma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XEQ179"/>
      <c r="XER179"/>
      <c r="XES179"/>
      <c r="XET179"/>
      <c r="XEU179"/>
      <c r="XEV179"/>
      <c r="XEW179"/>
      <c r="XEX179"/>
      <c r="XEY179"/>
      <c r="XEZ179"/>
      <c r="XFA179"/>
      <c r="XFB179"/>
      <c r="XFC179"/>
      <c r="XFD179"/>
    </row>
    <row r="180" spans="1:50 16371:16384" s="2" customForma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XEQ180"/>
      <c r="XER180"/>
      <c r="XES180"/>
      <c r="XET180"/>
      <c r="XEU180"/>
      <c r="XEV180"/>
      <c r="XEW180"/>
      <c r="XEX180"/>
      <c r="XEY180"/>
      <c r="XEZ180"/>
      <c r="XFA180"/>
      <c r="XFB180"/>
      <c r="XFC180"/>
      <c r="XFD180"/>
    </row>
    <row r="181" spans="1:50 16371:16384" s="2" customForma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XEQ181"/>
      <c r="XER181"/>
      <c r="XES181"/>
      <c r="XET181"/>
      <c r="XEU181"/>
      <c r="XEV181"/>
      <c r="XEW181"/>
      <c r="XEX181"/>
      <c r="XEY181"/>
      <c r="XEZ181"/>
      <c r="XFA181"/>
      <c r="XFB181"/>
      <c r="XFC181"/>
      <c r="XFD181"/>
    </row>
    <row r="182" spans="1:50 16371:16384" s="2" customForma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XEQ182"/>
      <c r="XER182"/>
      <c r="XES182"/>
      <c r="XET182"/>
      <c r="XEU182"/>
      <c r="XEV182"/>
      <c r="XEW182"/>
      <c r="XEX182"/>
      <c r="XEY182"/>
      <c r="XEZ182"/>
      <c r="XFA182"/>
      <c r="XFB182"/>
      <c r="XFC182"/>
      <c r="XFD182"/>
    </row>
    <row r="183" spans="1:50 16371:16384" s="2" customForma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XEQ183"/>
      <c r="XER183"/>
      <c r="XES183"/>
      <c r="XET183"/>
      <c r="XEU183"/>
      <c r="XEV183"/>
      <c r="XEW183"/>
      <c r="XEX183"/>
      <c r="XEY183"/>
      <c r="XEZ183"/>
      <c r="XFA183"/>
      <c r="XFB183"/>
      <c r="XFC183"/>
      <c r="XFD183"/>
    </row>
    <row r="184" spans="1:50 16371:16384" s="2" customForma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XEQ184"/>
      <c r="XER184"/>
      <c r="XES184"/>
      <c r="XET184"/>
      <c r="XEU184"/>
      <c r="XEV184"/>
      <c r="XEW184"/>
      <c r="XEX184"/>
      <c r="XEY184"/>
      <c r="XEZ184"/>
      <c r="XFA184"/>
      <c r="XFB184"/>
      <c r="XFC184"/>
      <c r="XFD184"/>
    </row>
    <row r="185" spans="1:50 16371:16384" s="2" customForma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XEQ185"/>
      <c r="XER185"/>
      <c r="XES185"/>
      <c r="XET185"/>
      <c r="XEU185"/>
      <c r="XEV185"/>
      <c r="XEW185"/>
      <c r="XEX185"/>
      <c r="XEY185"/>
      <c r="XEZ185"/>
      <c r="XFA185"/>
      <c r="XFB185"/>
      <c r="XFC185"/>
      <c r="XFD185"/>
    </row>
    <row r="186" spans="1:50 16371:16384" s="2" customForma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XEQ186"/>
      <c r="XER186"/>
      <c r="XES186"/>
      <c r="XET186"/>
      <c r="XEU186"/>
      <c r="XEV186"/>
      <c r="XEW186"/>
      <c r="XEX186"/>
      <c r="XEY186"/>
      <c r="XEZ186"/>
      <c r="XFA186"/>
      <c r="XFB186"/>
      <c r="XFC186"/>
      <c r="XFD186"/>
    </row>
    <row r="187" spans="1:50 16371:16384" s="2" customForma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XEQ187"/>
      <c r="XER187"/>
      <c r="XES187"/>
      <c r="XET187"/>
      <c r="XEU187"/>
      <c r="XEV187"/>
      <c r="XEW187"/>
      <c r="XEX187"/>
      <c r="XEY187"/>
      <c r="XEZ187"/>
      <c r="XFA187"/>
      <c r="XFB187"/>
      <c r="XFC187"/>
      <c r="XFD187"/>
    </row>
    <row r="188" spans="1:50 16371:16384" s="2" customForma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XEQ188"/>
      <c r="XER188"/>
      <c r="XES188"/>
      <c r="XET188"/>
      <c r="XEU188"/>
      <c r="XEV188"/>
      <c r="XEW188"/>
      <c r="XEX188"/>
      <c r="XEY188"/>
      <c r="XEZ188"/>
      <c r="XFA188"/>
      <c r="XFB188"/>
      <c r="XFC188"/>
      <c r="XFD188"/>
    </row>
    <row r="189" spans="1:50 16371:16384" s="2" customForma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XEQ189"/>
      <c r="XER189"/>
      <c r="XES189"/>
      <c r="XET189"/>
      <c r="XEU189"/>
      <c r="XEV189"/>
      <c r="XEW189"/>
      <c r="XEX189"/>
      <c r="XEY189"/>
      <c r="XEZ189"/>
      <c r="XFA189"/>
      <c r="XFB189"/>
      <c r="XFC189"/>
      <c r="XFD189"/>
    </row>
    <row r="190" spans="1:50 16371:16384" s="2" customForma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XEQ190"/>
      <c r="XER190"/>
      <c r="XES190"/>
      <c r="XET190"/>
      <c r="XEU190"/>
      <c r="XEV190"/>
      <c r="XEW190"/>
      <c r="XEX190"/>
      <c r="XEY190"/>
      <c r="XEZ190"/>
      <c r="XFA190"/>
      <c r="XFB190"/>
      <c r="XFC190"/>
      <c r="XFD190"/>
    </row>
    <row r="191" spans="1:50 16371:16384" s="2" customFormat="1">
      <c r="A191" s="3"/>
      <c r="B191" s="4"/>
      <c r="C191" s="5"/>
      <c r="D191" s="15"/>
      <c r="E191" s="16"/>
      <c r="F191" s="3"/>
      <c r="G191" s="8"/>
      <c r="H191" s="8"/>
      <c r="I191" s="8"/>
      <c r="J191" s="9"/>
      <c r="K191" s="9"/>
      <c r="L191" s="9"/>
      <c r="M191" s="9"/>
      <c r="T191"/>
      <c r="XEQ191"/>
      <c r="XER191"/>
      <c r="XES191"/>
      <c r="XET191"/>
      <c r="XEU191"/>
      <c r="XEV191"/>
      <c r="XEW191"/>
      <c r="XEX191"/>
      <c r="XEY191"/>
      <c r="XEZ191"/>
      <c r="XFA191"/>
      <c r="XFB191"/>
      <c r="XFC191"/>
      <c r="XFD191"/>
    </row>
    <row r="192" spans="1:50 16371:16384" s="2" customFormat="1">
      <c r="A192" s="3"/>
      <c r="B192" s="4"/>
      <c r="C192" s="5"/>
      <c r="D192" s="15"/>
      <c r="E192" s="16"/>
      <c r="F192" s="3"/>
      <c r="G192" s="8"/>
      <c r="H192" s="8"/>
      <c r="I192" s="8"/>
      <c r="J192" s="9"/>
      <c r="K192" s="9"/>
      <c r="L192" s="9"/>
      <c r="M192" s="9"/>
      <c r="T192"/>
      <c r="XEQ192"/>
      <c r="XER192"/>
      <c r="XES192"/>
      <c r="XET192"/>
      <c r="XEU192"/>
      <c r="XEV192"/>
      <c r="XEW192"/>
      <c r="XEX192"/>
      <c r="XEY192"/>
      <c r="XEZ192"/>
      <c r="XFA192"/>
      <c r="XFB192"/>
      <c r="XFC192"/>
      <c r="XFD192"/>
    </row>
    <row r="193" spans="1:20 16371:16384" s="2" customFormat="1">
      <c r="A193" s="3"/>
      <c r="B193" s="4"/>
      <c r="C193" s="5"/>
      <c r="D193" s="15"/>
      <c r="E193" s="16"/>
      <c r="F193" s="3"/>
      <c r="G193" s="8"/>
      <c r="H193" s="8"/>
      <c r="I193" s="8"/>
      <c r="J193" s="9"/>
      <c r="K193" s="9"/>
      <c r="L193" s="9"/>
      <c r="M193" s="9"/>
      <c r="T193"/>
      <c r="XEQ193"/>
      <c r="XER193"/>
      <c r="XES193"/>
      <c r="XET193"/>
      <c r="XEU193"/>
      <c r="XEV193"/>
      <c r="XEW193"/>
      <c r="XEX193"/>
      <c r="XEY193"/>
      <c r="XEZ193"/>
      <c r="XFA193"/>
      <c r="XFB193"/>
      <c r="XFC193"/>
      <c r="XFD193"/>
    </row>
    <row r="194" spans="1:20 16371:16384" s="2" customFormat="1">
      <c r="A194" s="3"/>
      <c r="B194" s="4"/>
      <c r="C194" s="5"/>
      <c r="D194" s="15"/>
      <c r="E194" s="16"/>
      <c r="F194" s="3"/>
      <c r="G194" s="8"/>
      <c r="H194" s="8"/>
      <c r="I194" s="8"/>
      <c r="J194" s="9"/>
      <c r="K194" s="9"/>
      <c r="L194" s="9"/>
      <c r="M194" s="9"/>
      <c r="T194"/>
      <c r="XEQ194"/>
      <c r="XER194"/>
      <c r="XES194"/>
      <c r="XET194"/>
      <c r="XEU194"/>
      <c r="XEV194"/>
      <c r="XEW194"/>
      <c r="XEX194"/>
      <c r="XEY194"/>
      <c r="XEZ194"/>
      <c r="XFA194"/>
      <c r="XFB194"/>
      <c r="XFC194"/>
      <c r="XFD194"/>
    </row>
    <row r="195" spans="1:20 16371:16384" s="2" customFormat="1">
      <c r="A195" s="3"/>
      <c r="B195" s="4"/>
      <c r="C195" s="5"/>
      <c r="D195" s="15"/>
      <c r="E195" s="16"/>
      <c r="F195" s="3"/>
      <c r="G195" s="8"/>
      <c r="H195" s="8"/>
      <c r="I195" s="8"/>
      <c r="J195" s="9"/>
      <c r="K195" s="9"/>
      <c r="L195" s="9"/>
      <c r="M195" s="9"/>
      <c r="T195"/>
      <c r="XEQ195"/>
      <c r="XER195"/>
      <c r="XES195"/>
      <c r="XET195"/>
      <c r="XEU195"/>
      <c r="XEV195"/>
      <c r="XEW195"/>
      <c r="XEX195"/>
      <c r="XEY195"/>
      <c r="XEZ195"/>
      <c r="XFA195"/>
      <c r="XFB195"/>
      <c r="XFC195"/>
      <c r="XFD195"/>
    </row>
    <row r="196" spans="1:20 16371:16384" s="2" customFormat="1">
      <c r="A196" s="3"/>
      <c r="B196" s="4"/>
      <c r="C196" s="5"/>
      <c r="D196" s="15"/>
      <c r="E196" s="16"/>
      <c r="F196" s="3"/>
      <c r="G196" s="8"/>
      <c r="H196" s="8"/>
      <c r="I196" s="8"/>
      <c r="J196" s="9"/>
      <c r="K196" s="9"/>
      <c r="L196" s="9"/>
      <c r="M196" s="9"/>
      <c r="T196"/>
      <c r="XEQ196"/>
      <c r="XER196"/>
      <c r="XES196"/>
      <c r="XET196"/>
      <c r="XEU196"/>
      <c r="XEV196"/>
      <c r="XEW196"/>
      <c r="XEX196"/>
      <c r="XEY196"/>
      <c r="XEZ196"/>
      <c r="XFA196"/>
      <c r="XFB196"/>
      <c r="XFC196"/>
      <c r="XFD196"/>
    </row>
    <row r="197" spans="1:20 16371:16384" s="2" customFormat="1">
      <c r="A197" s="3"/>
      <c r="B197" s="4"/>
      <c r="C197" s="5"/>
      <c r="D197" s="15"/>
      <c r="E197" s="16"/>
      <c r="F197" s="3"/>
      <c r="G197" s="8"/>
      <c r="H197" s="8"/>
      <c r="I197" s="8"/>
      <c r="J197" s="9"/>
      <c r="K197" s="9"/>
      <c r="L197" s="9"/>
      <c r="M197" s="9"/>
      <c r="T197"/>
      <c r="XEQ197"/>
      <c r="XER197"/>
      <c r="XES197"/>
      <c r="XET197"/>
      <c r="XEU197"/>
      <c r="XEV197"/>
      <c r="XEW197"/>
      <c r="XEX197"/>
      <c r="XEY197"/>
      <c r="XEZ197"/>
      <c r="XFA197"/>
      <c r="XFB197"/>
      <c r="XFC197"/>
      <c r="XFD197"/>
    </row>
    <row r="198" spans="1:20 16371:16384" s="2" customFormat="1">
      <c r="A198" s="3"/>
      <c r="B198" s="4"/>
      <c r="C198" s="5"/>
      <c r="D198" s="15"/>
      <c r="E198" s="16"/>
      <c r="F198" s="3"/>
      <c r="G198" s="8"/>
      <c r="H198" s="8"/>
      <c r="I198" s="8"/>
      <c r="J198" s="9"/>
      <c r="K198" s="9"/>
      <c r="L198" s="9"/>
      <c r="M198" s="9"/>
      <c r="T198"/>
      <c r="XEQ198"/>
      <c r="XER198"/>
      <c r="XES198"/>
      <c r="XET198"/>
      <c r="XEU198"/>
      <c r="XEV198"/>
      <c r="XEW198"/>
      <c r="XEX198"/>
      <c r="XEY198"/>
      <c r="XEZ198"/>
      <c r="XFA198"/>
      <c r="XFB198"/>
      <c r="XFC198"/>
      <c r="XFD198"/>
    </row>
    <row r="199" spans="1:20 16371:16384" s="2" customFormat="1">
      <c r="A199" s="3"/>
      <c r="B199" s="4"/>
      <c r="C199" s="5"/>
      <c r="D199" s="15"/>
      <c r="E199" s="16"/>
      <c r="F199" s="3"/>
      <c r="G199" s="8"/>
      <c r="H199" s="8"/>
      <c r="I199" s="8"/>
      <c r="J199" s="9"/>
      <c r="K199" s="9"/>
      <c r="L199" s="9"/>
      <c r="M199" s="9"/>
      <c r="T199"/>
      <c r="XEQ199"/>
      <c r="XER199"/>
      <c r="XES199"/>
      <c r="XET199"/>
      <c r="XEU199"/>
      <c r="XEV199"/>
      <c r="XEW199"/>
      <c r="XEX199"/>
      <c r="XEY199"/>
      <c r="XEZ199"/>
      <c r="XFA199"/>
      <c r="XFB199"/>
      <c r="XFC199"/>
      <c r="XFD199"/>
    </row>
    <row r="200" spans="1:20 16371:16384" s="2" customFormat="1">
      <c r="A200" s="3"/>
      <c r="B200" s="4"/>
      <c r="C200" s="5"/>
      <c r="D200" s="15"/>
      <c r="E200" s="16"/>
      <c r="F200" s="3"/>
      <c r="G200" s="8"/>
      <c r="H200" s="8"/>
      <c r="I200" s="8"/>
      <c r="J200" s="9"/>
      <c r="K200" s="9"/>
      <c r="L200" s="9"/>
      <c r="M200" s="9"/>
      <c r="T200"/>
      <c r="XEQ200"/>
      <c r="XER200"/>
      <c r="XES200"/>
      <c r="XET200"/>
      <c r="XEU200"/>
      <c r="XEV200"/>
      <c r="XEW200"/>
      <c r="XEX200"/>
      <c r="XEY200"/>
      <c r="XEZ200"/>
      <c r="XFA200"/>
      <c r="XFB200"/>
      <c r="XFC200"/>
      <c r="XFD200"/>
    </row>
    <row r="201" spans="1:20 16371:16384" s="2" customFormat="1">
      <c r="A201" s="3"/>
      <c r="B201" s="4"/>
      <c r="C201" s="5"/>
      <c r="D201" s="15"/>
      <c r="E201" s="16"/>
      <c r="F201" s="3"/>
      <c r="G201" s="8"/>
      <c r="H201" s="8"/>
      <c r="I201" s="8"/>
      <c r="J201" s="9"/>
      <c r="K201" s="9"/>
      <c r="L201" s="9"/>
      <c r="M201" s="9"/>
      <c r="T201"/>
      <c r="XEQ201"/>
      <c r="XER201"/>
      <c r="XES201"/>
      <c r="XET201"/>
      <c r="XEU201"/>
      <c r="XEV201"/>
      <c r="XEW201"/>
      <c r="XEX201"/>
      <c r="XEY201"/>
      <c r="XEZ201"/>
      <c r="XFA201"/>
      <c r="XFB201"/>
      <c r="XFC201"/>
      <c r="XFD201"/>
    </row>
    <row r="202" spans="1:20 16371:16384" s="2" customFormat="1">
      <c r="A202" s="3"/>
      <c r="B202" s="4"/>
      <c r="C202" s="5"/>
      <c r="D202" s="15"/>
      <c r="E202" s="16"/>
      <c r="F202" s="3"/>
      <c r="G202" s="8"/>
      <c r="H202" s="8"/>
      <c r="I202" s="8"/>
      <c r="J202" s="9"/>
      <c r="K202" s="9"/>
      <c r="L202" s="9"/>
      <c r="M202" s="9"/>
      <c r="T202"/>
      <c r="XEQ202"/>
      <c r="XER202"/>
      <c r="XES202"/>
      <c r="XET202"/>
      <c r="XEU202"/>
      <c r="XEV202"/>
      <c r="XEW202"/>
      <c r="XEX202"/>
      <c r="XEY202"/>
      <c r="XEZ202"/>
      <c r="XFA202"/>
      <c r="XFB202"/>
      <c r="XFC202"/>
      <c r="XFD202"/>
    </row>
    <row r="203" spans="1:20 16371:16384" s="2" customFormat="1">
      <c r="A203" s="3"/>
      <c r="B203" s="4"/>
      <c r="C203" s="5"/>
      <c r="D203" s="15"/>
      <c r="E203" s="16"/>
      <c r="F203" s="3"/>
      <c r="G203" s="8"/>
      <c r="H203" s="8"/>
      <c r="I203" s="8"/>
      <c r="J203" s="9"/>
      <c r="K203" s="9"/>
      <c r="L203" s="9"/>
      <c r="M203" s="9"/>
      <c r="T203"/>
      <c r="XEQ203"/>
      <c r="XER203"/>
      <c r="XES203"/>
      <c r="XET203"/>
      <c r="XEU203"/>
      <c r="XEV203"/>
      <c r="XEW203"/>
      <c r="XEX203"/>
      <c r="XEY203"/>
      <c r="XEZ203"/>
      <c r="XFA203"/>
      <c r="XFB203"/>
      <c r="XFC203"/>
      <c r="XFD203"/>
    </row>
    <row r="204" spans="1:20 16371:16384" s="2" customFormat="1">
      <c r="A204" s="3"/>
      <c r="B204" s="4"/>
      <c r="C204" s="5"/>
      <c r="D204" s="15"/>
      <c r="E204" s="16"/>
      <c r="F204" s="3"/>
      <c r="G204" s="8"/>
      <c r="H204" s="8"/>
      <c r="I204" s="8"/>
      <c r="J204" s="9"/>
      <c r="K204" s="9"/>
      <c r="L204" s="9"/>
      <c r="M204" s="9"/>
      <c r="T204"/>
      <c r="XEQ204"/>
      <c r="XER204"/>
      <c r="XES204"/>
      <c r="XET204"/>
      <c r="XEU204"/>
      <c r="XEV204"/>
      <c r="XEW204"/>
      <c r="XEX204"/>
      <c r="XEY204"/>
      <c r="XEZ204"/>
      <c r="XFA204"/>
      <c r="XFB204"/>
      <c r="XFC204"/>
      <c r="XFD204"/>
    </row>
    <row r="205" spans="1:20 16371:16384" s="2" customFormat="1">
      <c r="A205" s="3"/>
      <c r="B205" s="4"/>
      <c r="C205" s="5"/>
      <c r="D205" s="15"/>
      <c r="E205" s="16"/>
      <c r="F205" s="3"/>
      <c r="G205" s="8"/>
      <c r="H205" s="8"/>
      <c r="I205" s="8"/>
      <c r="J205" s="9"/>
      <c r="K205" s="9"/>
      <c r="L205" s="9"/>
      <c r="M205" s="9"/>
      <c r="T205"/>
      <c r="XEQ205"/>
      <c r="XER205"/>
      <c r="XES205"/>
      <c r="XET205"/>
      <c r="XEU205"/>
      <c r="XEV205"/>
      <c r="XEW205"/>
      <c r="XEX205"/>
      <c r="XEY205"/>
      <c r="XEZ205"/>
      <c r="XFA205"/>
      <c r="XFB205"/>
      <c r="XFC205"/>
      <c r="XFD205"/>
    </row>
    <row r="206" spans="1:20 16371:16384" s="2" customFormat="1">
      <c r="A206" s="3"/>
      <c r="B206" s="4"/>
      <c r="C206" s="5"/>
      <c r="D206" s="15"/>
      <c r="E206" s="16"/>
      <c r="F206" s="3"/>
      <c r="G206" s="8"/>
      <c r="H206" s="8"/>
      <c r="I206" s="8"/>
      <c r="J206" s="9"/>
      <c r="K206" s="9"/>
      <c r="L206" s="9"/>
      <c r="M206" s="9"/>
      <c r="T206"/>
      <c r="XEQ206"/>
      <c r="XER206"/>
      <c r="XES206"/>
      <c r="XET206"/>
      <c r="XEU206"/>
      <c r="XEV206"/>
      <c r="XEW206"/>
      <c r="XEX206"/>
      <c r="XEY206"/>
      <c r="XEZ206"/>
      <c r="XFA206"/>
      <c r="XFB206"/>
      <c r="XFC206"/>
      <c r="XFD206"/>
    </row>
    <row r="207" spans="1:20 16371:16384" s="2" customFormat="1">
      <c r="A207" s="3"/>
      <c r="B207" s="4"/>
      <c r="C207" s="5"/>
      <c r="D207" s="15"/>
      <c r="E207" s="16"/>
      <c r="F207" s="3"/>
      <c r="G207" s="8"/>
      <c r="H207" s="8"/>
      <c r="I207" s="8"/>
      <c r="J207" s="9"/>
      <c r="K207" s="9"/>
      <c r="L207" s="9"/>
      <c r="M207" s="9"/>
      <c r="T207"/>
      <c r="XEQ207"/>
      <c r="XER207"/>
      <c r="XES207"/>
      <c r="XET207"/>
      <c r="XEU207"/>
      <c r="XEV207"/>
      <c r="XEW207"/>
      <c r="XEX207"/>
      <c r="XEY207"/>
      <c r="XEZ207"/>
      <c r="XFA207"/>
      <c r="XFB207"/>
      <c r="XFC207"/>
      <c r="XFD207"/>
    </row>
    <row r="208" spans="1:20 16371:16384" s="2" customFormat="1">
      <c r="A208" s="3"/>
      <c r="B208" s="4"/>
      <c r="C208" s="5"/>
      <c r="D208" s="15"/>
      <c r="E208" s="16"/>
      <c r="F208" s="3"/>
      <c r="G208" s="8"/>
      <c r="H208" s="8"/>
      <c r="I208" s="8"/>
      <c r="J208" s="9"/>
      <c r="K208" s="9"/>
      <c r="L208" s="9"/>
      <c r="M208" s="9"/>
      <c r="T208"/>
      <c r="XEQ208"/>
      <c r="XER208"/>
      <c r="XES208"/>
      <c r="XET208"/>
      <c r="XEU208"/>
      <c r="XEV208"/>
      <c r="XEW208"/>
      <c r="XEX208"/>
      <c r="XEY208"/>
      <c r="XEZ208"/>
      <c r="XFA208"/>
      <c r="XFB208"/>
      <c r="XFC208"/>
      <c r="XFD208"/>
    </row>
    <row r="209" spans="1:20 16371:16384" s="2" customFormat="1">
      <c r="A209" s="3"/>
      <c r="B209" s="4"/>
      <c r="C209" s="5"/>
      <c r="D209" s="15"/>
      <c r="E209" s="16"/>
      <c r="F209" s="3"/>
      <c r="G209" s="8"/>
      <c r="H209" s="8"/>
      <c r="I209" s="8"/>
      <c r="J209" s="9"/>
      <c r="K209" s="9"/>
      <c r="L209" s="9"/>
      <c r="M209" s="9"/>
      <c r="T209"/>
      <c r="XEQ209"/>
      <c r="XER209"/>
      <c r="XES209"/>
      <c r="XET209"/>
      <c r="XEU209"/>
      <c r="XEV209"/>
      <c r="XEW209"/>
      <c r="XEX209"/>
      <c r="XEY209"/>
      <c r="XEZ209"/>
      <c r="XFA209"/>
      <c r="XFB209"/>
      <c r="XFC209"/>
      <c r="XFD209"/>
    </row>
    <row r="210" spans="1:20 16371:16384" s="2" customFormat="1">
      <c r="A210" s="3"/>
      <c r="B210" s="4"/>
      <c r="C210" s="5"/>
      <c r="D210" s="15"/>
      <c r="E210" s="16"/>
      <c r="F210" s="3"/>
      <c r="G210" s="8"/>
      <c r="H210" s="8"/>
      <c r="I210" s="8"/>
      <c r="J210" s="9"/>
      <c r="K210" s="9"/>
      <c r="L210" s="9"/>
      <c r="M210" s="9"/>
      <c r="T210"/>
      <c r="XEQ210"/>
      <c r="XER210"/>
      <c r="XES210"/>
      <c r="XET210"/>
      <c r="XEU210"/>
      <c r="XEV210"/>
      <c r="XEW210"/>
      <c r="XEX210"/>
      <c r="XEY210"/>
      <c r="XEZ210"/>
      <c r="XFA210"/>
      <c r="XFB210"/>
      <c r="XFC210"/>
      <c r="XFD210"/>
    </row>
    <row r="211" spans="1:20 16371:16384" s="2" customFormat="1">
      <c r="A211" s="3"/>
      <c r="B211" s="4"/>
      <c r="C211" s="5"/>
      <c r="D211" s="15"/>
      <c r="E211" s="16"/>
      <c r="F211" s="3"/>
      <c r="G211" s="8"/>
      <c r="H211" s="8"/>
      <c r="I211" s="8"/>
      <c r="J211" s="9"/>
      <c r="K211" s="9"/>
      <c r="L211" s="9"/>
      <c r="M211" s="9"/>
      <c r="T211"/>
      <c r="XEQ211"/>
      <c r="XER211"/>
      <c r="XES211"/>
      <c r="XET211"/>
      <c r="XEU211"/>
      <c r="XEV211"/>
      <c r="XEW211"/>
      <c r="XEX211"/>
      <c r="XEY211"/>
      <c r="XEZ211"/>
      <c r="XFA211"/>
      <c r="XFB211"/>
      <c r="XFC211"/>
      <c r="XFD211"/>
    </row>
    <row r="212" spans="1:20 16371:16384" s="2" customFormat="1">
      <c r="A212" s="3"/>
      <c r="B212" s="4"/>
      <c r="C212" s="5"/>
      <c r="D212" s="15"/>
      <c r="E212" s="16"/>
      <c r="F212" s="3"/>
      <c r="G212" s="8"/>
      <c r="H212" s="8"/>
      <c r="I212" s="8"/>
      <c r="J212" s="9"/>
      <c r="K212" s="9"/>
      <c r="L212" s="9"/>
      <c r="M212" s="9"/>
      <c r="T212"/>
      <c r="XEQ212"/>
      <c r="XER212"/>
      <c r="XES212"/>
      <c r="XET212"/>
      <c r="XEU212"/>
      <c r="XEV212"/>
      <c r="XEW212"/>
      <c r="XEX212"/>
      <c r="XEY212"/>
      <c r="XEZ212"/>
      <c r="XFA212"/>
      <c r="XFB212"/>
      <c r="XFC212"/>
      <c r="XFD212"/>
    </row>
    <row r="213" spans="1:20 16371:16384" s="2" customFormat="1">
      <c r="A213" s="3"/>
      <c r="B213" s="4"/>
      <c r="C213" s="5"/>
      <c r="D213" s="15"/>
      <c r="E213" s="16"/>
      <c r="F213" s="3"/>
      <c r="G213" s="8"/>
      <c r="H213" s="8"/>
      <c r="I213" s="8"/>
      <c r="J213" s="9"/>
      <c r="K213" s="9"/>
      <c r="L213" s="9"/>
      <c r="M213" s="9"/>
      <c r="T213"/>
      <c r="XEQ213"/>
      <c r="XER213"/>
      <c r="XES213"/>
      <c r="XET213"/>
      <c r="XEU213"/>
      <c r="XEV213"/>
      <c r="XEW213"/>
      <c r="XEX213"/>
      <c r="XEY213"/>
      <c r="XEZ213"/>
      <c r="XFA213"/>
      <c r="XFB213"/>
      <c r="XFC213"/>
      <c r="XFD213"/>
    </row>
    <row r="214" spans="1:20 16371:16384" s="2" customFormat="1">
      <c r="A214" s="3"/>
      <c r="B214" s="4"/>
      <c r="C214" s="5"/>
      <c r="D214" s="15"/>
      <c r="E214" s="16"/>
      <c r="F214" s="3"/>
      <c r="G214" s="8"/>
      <c r="H214" s="8"/>
      <c r="I214" s="8"/>
      <c r="J214" s="9"/>
      <c r="K214" s="9"/>
      <c r="L214" s="9"/>
      <c r="M214" s="9"/>
      <c r="T214"/>
      <c r="XEQ214"/>
      <c r="XER214"/>
      <c r="XES214"/>
      <c r="XET214"/>
      <c r="XEU214"/>
      <c r="XEV214"/>
      <c r="XEW214"/>
      <c r="XEX214"/>
      <c r="XEY214"/>
      <c r="XEZ214"/>
      <c r="XFA214"/>
      <c r="XFB214"/>
      <c r="XFC214"/>
      <c r="XFD214"/>
    </row>
    <row r="215" spans="1:20 16371:16384" s="2" customFormat="1">
      <c r="A215" s="3"/>
      <c r="B215" s="4"/>
      <c r="C215" s="5"/>
      <c r="D215" s="15"/>
      <c r="E215" s="16"/>
      <c r="F215" s="3"/>
      <c r="G215" s="8"/>
      <c r="H215" s="8"/>
      <c r="I215" s="8"/>
      <c r="J215" s="9"/>
      <c r="K215" s="9"/>
      <c r="L215" s="9"/>
      <c r="M215" s="9"/>
      <c r="T215"/>
      <c r="XEQ215"/>
      <c r="XER215"/>
      <c r="XES215"/>
      <c r="XET215"/>
      <c r="XEU215"/>
      <c r="XEV215"/>
      <c r="XEW215"/>
      <c r="XEX215"/>
      <c r="XEY215"/>
      <c r="XEZ215"/>
      <c r="XFA215"/>
      <c r="XFB215"/>
      <c r="XFC215"/>
      <c r="XFD215"/>
    </row>
    <row r="216" spans="1:20 16371:16384" s="2" customFormat="1">
      <c r="A216" s="3"/>
      <c r="B216" s="4"/>
      <c r="C216" s="5"/>
      <c r="D216" s="15"/>
      <c r="E216" s="16"/>
      <c r="F216" s="3"/>
      <c r="G216" s="8"/>
      <c r="H216" s="8"/>
      <c r="I216" s="8"/>
      <c r="J216" s="9"/>
      <c r="K216" s="9"/>
      <c r="L216" s="9"/>
      <c r="M216" s="9"/>
      <c r="T216"/>
      <c r="XEQ216"/>
      <c r="XER216"/>
      <c r="XES216"/>
      <c r="XET216"/>
      <c r="XEU216"/>
      <c r="XEV216"/>
      <c r="XEW216"/>
      <c r="XEX216"/>
      <c r="XEY216"/>
      <c r="XEZ216"/>
      <c r="XFA216"/>
      <c r="XFB216"/>
      <c r="XFC216"/>
      <c r="XFD216"/>
    </row>
    <row r="217" spans="1:20 16371:16384" s="2" customFormat="1">
      <c r="A217" s="3"/>
      <c r="B217" s="4"/>
      <c r="C217" s="5"/>
      <c r="D217" s="15"/>
      <c r="E217" s="16"/>
      <c r="F217" s="3"/>
      <c r="G217" s="8"/>
      <c r="H217" s="8"/>
      <c r="I217" s="8"/>
      <c r="J217" s="9"/>
      <c r="K217" s="9"/>
      <c r="L217" s="9"/>
      <c r="M217" s="9"/>
      <c r="T217"/>
      <c r="XEQ217"/>
      <c r="XER217"/>
      <c r="XES217"/>
      <c r="XET217"/>
      <c r="XEU217"/>
      <c r="XEV217"/>
      <c r="XEW217"/>
      <c r="XEX217"/>
      <c r="XEY217"/>
      <c r="XEZ217"/>
      <c r="XFA217"/>
      <c r="XFB217"/>
      <c r="XFC217"/>
      <c r="XFD217"/>
    </row>
    <row r="218" spans="1:20 16371:16384" s="2" customFormat="1">
      <c r="A218" s="3"/>
      <c r="B218" s="4"/>
      <c r="C218" s="5"/>
      <c r="D218" s="15"/>
      <c r="E218" s="16"/>
      <c r="F218" s="3"/>
      <c r="G218" s="8"/>
      <c r="H218" s="8"/>
      <c r="I218" s="8"/>
      <c r="J218" s="9"/>
      <c r="K218" s="9"/>
      <c r="L218" s="9"/>
      <c r="M218" s="9"/>
      <c r="T218"/>
      <c r="XEQ218"/>
      <c r="XER218"/>
      <c r="XES218"/>
      <c r="XET218"/>
      <c r="XEU218"/>
      <c r="XEV218"/>
      <c r="XEW218"/>
      <c r="XEX218"/>
      <c r="XEY218"/>
      <c r="XEZ218"/>
      <c r="XFA218"/>
      <c r="XFB218"/>
      <c r="XFC218"/>
      <c r="XFD218"/>
    </row>
    <row r="219" spans="1:20 16371:16384" s="2" customFormat="1">
      <c r="A219" s="3"/>
      <c r="B219" s="4"/>
      <c r="C219" s="5"/>
      <c r="D219" s="15"/>
      <c r="E219" s="16"/>
      <c r="F219" s="3"/>
      <c r="G219" s="8"/>
      <c r="H219" s="8"/>
      <c r="I219" s="8"/>
      <c r="J219" s="9"/>
      <c r="K219" s="9"/>
      <c r="L219" s="9"/>
      <c r="M219" s="9"/>
      <c r="T219"/>
      <c r="XEQ219"/>
      <c r="XER219"/>
      <c r="XES219"/>
      <c r="XET219"/>
      <c r="XEU219"/>
      <c r="XEV219"/>
      <c r="XEW219"/>
      <c r="XEX219"/>
      <c r="XEY219"/>
      <c r="XEZ219"/>
      <c r="XFA219"/>
      <c r="XFB219"/>
      <c r="XFC219"/>
      <c r="XFD219"/>
    </row>
    <row r="220" spans="1:20 16371:16384" s="2" customFormat="1">
      <c r="A220" s="3"/>
      <c r="B220" s="4"/>
      <c r="C220" s="5"/>
      <c r="D220" s="15"/>
      <c r="E220" s="16"/>
      <c r="F220" s="3"/>
      <c r="G220" s="8"/>
      <c r="H220" s="8"/>
      <c r="I220" s="8"/>
      <c r="J220" s="9"/>
      <c r="K220" s="9"/>
      <c r="L220" s="9"/>
      <c r="M220" s="9"/>
      <c r="T220"/>
      <c r="XEQ220"/>
      <c r="XER220"/>
      <c r="XES220"/>
      <c r="XET220"/>
      <c r="XEU220"/>
      <c r="XEV220"/>
      <c r="XEW220"/>
      <c r="XEX220"/>
      <c r="XEY220"/>
      <c r="XEZ220"/>
      <c r="XFA220"/>
      <c r="XFB220"/>
      <c r="XFC220"/>
      <c r="XFD220"/>
    </row>
    <row r="221" spans="1:20 16371:16384" s="2" customFormat="1">
      <c r="A221" s="3"/>
      <c r="B221" s="4"/>
      <c r="C221" s="5"/>
      <c r="D221" s="15"/>
      <c r="E221" s="16"/>
      <c r="F221" s="3"/>
      <c r="G221" s="8"/>
      <c r="H221" s="8"/>
      <c r="I221" s="8"/>
      <c r="J221" s="9"/>
      <c r="K221" s="9"/>
      <c r="L221" s="9"/>
      <c r="M221" s="9"/>
      <c r="T221"/>
      <c r="XEQ221"/>
      <c r="XER221"/>
      <c r="XES221"/>
      <c r="XET221"/>
      <c r="XEU221"/>
      <c r="XEV221"/>
      <c r="XEW221"/>
      <c r="XEX221"/>
      <c r="XEY221"/>
      <c r="XEZ221"/>
      <c r="XFA221"/>
      <c r="XFB221"/>
      <c r="XFC221"/>
      <c r="XFD221"/>
    </row>
    <row r="222" spans="1:20 16371:16384" s="2" customFormat="1">
      <c r="A222" s="3"/>
      <c r="B222" s="4"/>
      <c r="C222" s="5"/>
      <c r="D222" s="15"/>
      <c r="E222" s="16"/>
      <c r="F222" s="3"/>
      <c r="G222" s="8"/>
      <c r="H222" s="8"/>
      <c r="I222" s="8"/>
      <c r="J222" s="9"/>
      <c r="K222" s="9"/>
      <c r="L222" s="9"/>
      <c r="M222" s="9"/>
      <c r="T222"/>
      <c r="XEQ222"/>
      <c r="XER222"/>
      <c r="XES222"/>
      <c r="XET222"/>
      <c r="XEU222"/>
      <c r="XEV222"/>
      <c r="XEW222"/>
      <c r="XEX222"/>
      <c r="XEY222"/>
      <c r="XEZ222"/>
      <c r="XFA222"/>
      <c r="XFB222"/>
      <c r="XFC222"/>
      <c r="XFD222"/>
    </row>
    <row r="223" spans="1:20 16371:16384" s="2" customFormat="1">
      <c r="A223" s="3"/>
      <c r="B223" s="4"/>
      <c r="C223" s="5"/>
      <c r="D223" s="15"/>
      <c r="E223" s="16"/>
      <c r="F223" s="3"/>
      <c r="G223" s="8"/>
      <c r="H223" s="8"/>
      <c r="I223" s="8"/>
      <c r="J223" s="9"/>
      <c r="K223" s="9"/>
      <c r="L223" s="9"/>
      <c r="M223" s="9"/>
      <c r="T223"/>
      <c r="XEQ223"/>
      <c r="XER223"/>
      <c r="XES223"/>
      <c r="XET223"/>
      <c r="XEU223"/>
      <c r="XEV223"/>
      <c r="XEW223"/>
      <c r="XEX223"/>
      <c r="XEY223"/>
      <c r="XEZ223"/>
      <c r="XFA223"/>
      <c r="XFB223"/>
      <c r="XFC223"/>
      <c r="XFD223"/>
    </row>
    <row r="224" spans="1:20 16371:16384" s="2" customFormat="1">
      <c r="A224" s="3"/>
      <c r="B224" s="4"/>
      <c r="C224" s="5"/>
      <c r="D224" s="15"/>
      <c r="E224" s="16"/>
      <c r="F224" s="3"/>
      <c r="G224" s="8"/>
      <c r="H224" s="8"/>
      <c r="I224" s="8"/>
      <c r="J224" s="9"/>
      <c r="K224" s="9"/>
      <c r="L224" s="9"/>
      <c r="M224" s="9"/>
      <c r="T224"/>
      <c r="XEQ224"/>
      <c r="XER224"/>
      <c r="XES224"/>
      <c r="XET224"/>
      <c r="XEU224"/>
      <c r="XEV224"/>
      <c r="XEW224"/>
      <c r="XEX224"/>
      <c r="XEY224"/>
      <c r="XEZ224"/>
      <c r="XFA224"/>
      <c r="XFB224"/>
      <c r="XFC224"/>
      <c r="XFD224"/>
    </row>
    <row r="225" spans="1:20 16371:16384" s="2" customFormat="1">
      <c r="A225" s="3"/>
      <c r="B225" s="4"/>
      <c r="C225" s="5"/>
      <c r="D225" s="15"/>
      <c r="E225" s="16"/>
      <c r="F225" s="3"/>
      <c r="G225" s="8"/>
      <c r="H225" s="8"/>
      <c r="I225" s="8"/>
      <c r="J225" s="9"/>
      <c r="K225" s="9"/>
      <c r="L225" s="9"/>
      <c r="M225" s="9"/>
      <c r="T225"/>
      <c r="XEQ225"/>
      <c r="XER225"/>
      <c r="XES225"/>
      <c r="XET225"/>
      <c r="XEU225"/>
      <c r="XEV225"/>
      <c r="XEW225"/>
      <c r="XEX225"/>
      <c r="XEY225"/>
      <c r="XEZ225"/>
      <c r="XFA225"/>
      <c r="XFB225"/>
      <c r="XFC225"/>
      <c r="XFD225"/>
    </row>
    <row r="226" spans="1:20 16371:16384" s="2" customFormat="1">
      <c r="A226" s="3"/>
      <c r="B226" s="4"/>
      <c r="C226" s="5"/>
      <c r="D226" s="15"/>
      <c r="E226" s="16"/>
      <c r="F226" s="3"/>
      <c r="G226" s="8"/>
      <c r="H226" s="8"/>
      <c r="I226" s="8"/>
      <c r="J226" s="9"/>
      <c r="K226" s="9"/>
      <c r="L226" s="9"/>
      <c r="M226" s="9"/>
      <c r="T226"/>
      <c r="XEQ226"/>
      <c r="XER226"/>
      <c r="XES226"/>
      <c r="XET226"/>
      <c r="XEU226"/>
      <c r="XEV226"/>
      <c r="XEW226"/>
      <c r="XEX226"/>
      <c r="XEY226"/>
      <c r="XEZ226"/>
      <c r="XFA226"/>
      <c r="XFB226"/>
      <c r="XFC226"/>
      <c r="XFD226"/>
    </row>
    <row r="227" spans="1:20 16371:16384" s="2" customFormat="1">
      <c r="A227" s="3"/>
      <c r="B227" s="4"/>
      <c r="C227" s="5"/>
      <c r="D227" s="15"/>
      <c r="E227" s="16"/>
      <c r="F227" s="3"/>
      <c r="G227" s="8"/>
      <c r="H227" s="8"/>
      <c r="I227" s="8"/>
      <c r="J227" s="9"/>
      <c r="K227" s="9"/>
      <c r="L227" s="9"/>
      <c r="M227" s="9"/>
      <c r="T227"/>
      <c r="XEQ227"/>
      <c r="XER227"/>
      <c r="XES227"/>
      <c r="XET227"/>
      <c r="XEU227"/>
      <c r="XEV227"/>
      <c r="XEW227"/>
      <c r="XEX227"/>
      <c r="XEY227"/>
      <c r="XEZ227"/>
      <c r="XFA227"/>
      <c r="XFB227"/>
      <c r="XFC227"/>
      <c r="XFD227"/>
    </row>
    <row r="228" spans="1:20 16371:16384" s="2" customFormat="1">
      <c r="A228" s="3"/>
      <c r="B228" s="4"/>
      <c r="C228" s="5"/>
      <c r="D228" s="15"/>
      <c r="E228" s="16"/>
      <c r="F228" s="3"/>
      <c r="G228" s="8"/>
      <c r="H228" s="8"/>
      <c r="I228" s="8"/>
      <c r="J228" s="9"/>
      <c r="K228" s="9"/>
      <c r="L228" s="9"/>
      <c r="M228" s="9"/>
      <c r="T228"/>
      <c r="XEQ228"/>
      <c r="XER228"/>
      <c r="XES228"/>
      <c r="XET228"/>
      <c r="XEU228"/>
      <c r="XEV228"/>
      <c r="XEW228"/>
      <c r="XEX228"/>
      <c r="XEY228"/>
      <c r="XEZ228"/>
      <c r="XFA228"/>
      <c r="XFB228"/>
      <c r="XFC228"/>
      <c r="XFD228"/>
    </row>
    <row r="229" spans="1:20 16371:16384" s="2" customFormat="1">
      <c r="A229" s="3"/>
      <c r="B229" s="4"/>
      <c r="C229" s="5"/>
      <c r="D229" s="15"/>
      <c r="E229" s="16"/>
      <c r="F229" s="3"/>
      <c r="G229" s="8"/>
      <c r="H229" s="8"/>
      <c r="I229" s="8"/>
      <c r="J229" s="9"/>
      <c r="K229" s="9"/>
      <c r="L229" s="9"/>
      <c r="M229" s="9"/>
      <c r="T229"/>
      <c r="XEQ229"/>
      <c r="XER229"/>
      <c r="XES229"/>
      <c r="XET229"/>
      <c r="XEU229"/>
      <c r="XEV229"/>
      <c r="XEW229"/>
      <c r="XEX229"/>
      <c r="XEY229"/>
      <c r="XEZ229"/>
      <c r="XFA229"/>
      <c r="XFB229"/>
      <c r="XFC229"/>
      <c r="XFD229"/>
    </row>
    <row r="230" spans="1:20 16371:16384" s="2" customFormat="1">
      <c r="A230" s="3"/>
      <c r="B230" s="4"/>
      <c r="C230" s="5"/>
      <c r="D230" s="15"/>
      <c r="E230" s="16"/>
      <c r="F230" s="3"/>
      <c r="G230" s="8"/>
      <c r="H230" s="8"/>
      <c r="I230" s="8"/>
      <c r="J230" s="9"/>
      <c r="K230" s="9"/>
      <c r="L230" s="9"/>
      <c r="M230" s="9"/>
      <c r="T230"/>
      <c r="XEQ230"/>
      <c r="XER230"/>
      <c r="XES230"/>
      <c r="XET230"/>
      <c r="XEU230"/>
      <c r="XEV230"/>
      <c r="XEW230"/>
      <c r="XEX230"/>
      <c r="XEY230"/>
      <c r="XEZ230"/>
      <c r="XFA230"/>
      <c r="XFB230"/>
      <c r="XFC230"/>
      <c r="XFD230"/>
    </row>
    <row r="231" spans="1:20 16371:16384" s="2" customFormat="1">
      <c r="A231" s="3"/>
      <c r="B231" s="4"/>
      <c r="C231" s="5"/>
      <c r="D231" s="15"/>
      <c r="E231" s="16"/>
      <c r="F231" s="3"/>
      <c r="G231" s="8"/>
      <c r="H231" s="8"/>
      <c r="I231" s="8"/>
      <c r="J231" s="9"/>
      <c r="K231" s="9"/>
      <c r="L231" s="9"/>
      <c r="M231" s="9"/>
      <c r="T231"/>
      <c r="XEQ231"/>
      <c r="XER231"/>
      <c r="XES231"/>
      <c r="XET231"/>
      <c r="XEU231"/>
      <c r="XEV231"/>
      <c r="XEW231"/>
      <c r="XEX231"/>
      <c r="XEY231"/>
      <c r="XEZ231"/>
      <c r="XFA231"/>
      <c r="XFB231"/>
      <c r="XFC231"/>
      <c r="XFD231"/>
    </row>
    <row r="232" spans="1:20 16371:16384" s="2" customFormat="1">
      <c r="A232" s="3"/>
      <c r="B232" s="4"/>
      <c r="C232" s="5"/>
      <c r="D232" s="15"/>
      <c r="E232" s="16"/>
      <c r="F232" s="3"/>
      <c r="G232" s="8"/>
      <c r="H232" s="8"/>
      <c r="I232" s="8"/>
      <c r="J232" s="9"/>
      <c r="K232" s="9"/>
      <c r="L232" s="9"/>
      <c r="M232" s="9"/>
      <c r="T232"/>
      <c r="XEQ232"/>
      <c r="XER232"/>
      <c r="XES232"/>
      <c r="XET232"/>
      <c r="XEU232"/>
      <c r="XEV232"/>
      <c r="XEW232"/>
      <c r="XEX232"/>
      <c r="XEY232"/>
      <c r="XEZ232"/>
      <c r="XFA232"/>
      <c r="XFB232"/>
      <c r="XFC232"/>
      <c r="XFD232"/>
    </row>
    <row r="233" spans="1:20 16371:16384" s="2" customFormat="1">
      <c r="A233" s="3"/>
      <c r="B233" s="4"/>
      <c r="C233" s="5"/>
      <c r="D233" s="15"/>
      <c r="E233" s="16"/>
      <c r="F233" s="3"/>
      <c r="G233" s="8"/>
      <c r="H233" s="8"/>
      <c r="I233" s="8"/>
      <c r="J233" s="9"/>
      <c r="K233" s="9"/>
      <c r="L233" s="9"/>
      <c r="M233" s="9"/>
      <c r="T233"/>
      <c r="XEQ233"/>
      <c r="XER233"/>
      <c r="XES233"/>
      <c r="XET233"/>
      <c r="XEU233"/>
      <c r="XEV233"/>
      <c r="XEW233"/>
      <c r="XEX233"/>
      <c r="XEY233"/>
      <c r="XEZ233"/>
      <c r="XFA233"/>
      <c r="XFB233"/>
      <c r="XFC233"/>
      <c r="XFD233"/>
    </row>
    <row r="234" spans="1:20 16371:16384" s="2" customFormat="1">
      <c r="A234" s="3"/>
      <c r="B234" s="4"/>
      <c r="C234" s="5"/>
      <c r="D234" s="15"/>
      <c r="E234" s="16"/>
      <c r="F234" s="3"/>
      <c r="G234" s="8"/>
      <c r="H234" s="8"/>
      <c r="I234" s="8"/>
      <c r="J234" s="9"/>
      <c r="K234" s="9"/>
      <c r="L234" s="9"/>
      <c r="M234" s="9"/>
      <c r="T234"/>
      <c r="XEQ234"/>
      <c r="XER234"/>
      <c r="XES234"/>
      <c r="XET234"/>
      <c r="XEU234"/>
      <c r="XEV234"/>
      <c r="XEW234"/>
      <c r="XEX234"/>
      <c r="XEY234"/>
      <c r="XEZ234"/>
      <c r="XFA234"/>
      <c r="XFB234"/>
      <c r="XFC234"/>
      <c r="XFD234"/>
    </row>
    <row r="235" spans="1:20 16371:16384" s="2" customFormat="1">
      <c r="A235" s="3"/>
      <c r="B235" s="4"/>
      <c r="C235" s="5"/>
      <c r="D235" s="15"/>
      <c r="E235" s="16"/>
      <c r="F235" s="3"/>
      <c r="G235" s="8"/>
      <c r="H235" s="8"/>
      <c r="I235" s="8"/>
      <c r="J235" s="9"/>
      <c r="K235" s="9"/>
      <c r="L235" s="9"/>
      <c r="M235" s="9"/>
      <c r="T235"/>
      <c r="XEQ235"/>
      <c r="XER235"/>
      <c r="XES235"/>
      <c r="XET235"/>
      <c r="XEU235"/>
      <c r="XEV235"/>
      <c r="XEW235"/>
      <c r="XEX235"/>
      <c r="XEY235"/>
      <c r="XEZ235"/>
      <c r="XFA235"/>
      <c r="XFB235"/>
      <c r="XFC235"/>
      <c r="XFD235"/>
    </row>
    <row r="236" spans="1:20 16371:16384" s="2" customFormat="1">
      <c r="A236" s="3"/>
      <c r="B236" s="4"/>
      <c r="C236" s="5"/>
      <c r="D236" s="15"/>
      <c r="E236" s="16"/>
      <c r="F236" s="3"/>
      <c r="G236" s="8"/>
      <c r="H236" s="8"/>
      <c r="I236" s="8"/>
      <c r="J236" s="9"/>
      <c r="K236" s="9"/>
      <c r="L236" s="9"/>
      <c r="M236" s="9"/>
      <c r="T236"/>
      <c r="XEQ236"/>
      <c r="XER236"/>
      <c r="XES236"/>
      <c r="XET236"/>
      <c r="XEU236"/>
      <c r="XEV236"/>
      <c r="XEW236"/>
      <c r="XEX236"/>
      <c r="XEY236"/>
      <c r="XEZ236"/>
      <c r="XFA236"/>
      <c r="XFB236"/>
      <c r="XFC236"/>
      <c r="XFD236"/>
    </row>
    <row r="237" spans="1:20 16371:16384" s="2" customFormat="1">
      <c r="A237" s="3"/>
      <c r="B237" s="4"/>
      <c r="C237" s="5"/>
      <c r="D237" s="15"/>
      <c r="E237" s="16"/>
      <c r="F237" s="3"/>
      <c r="G237" s="8"/>
      <c r="H237" s="8"/>
      <c r="I237" s="8"/>
      <c r="J237" s="9"/>
      <c r="K237" s="9"/>
      <c r="L237" s="9"/>
      <c r="M237" s="9"/>
      <c r="T237"/>
      <c r="XEQ237"/>
      <c r="XER237"/>
      <c r="XES237"/>
      <c r="XET237"/>
      <c r="XEU237"/>
      <c r="XEV237"/>
      <c r="XEW237"/>
      <c r="XEX237"/>
      <c r="XEY237"/>
      <c r="XEZ237"/>
      <c r="XFA237"/>
      <c r="XFB237"/>
      <c r="XFC237"/>
      <c r="XFD237"/>
    </row>
    <row r="238" spans="1:20 16371:16384" s="2" customFormat="1">
      <c r="A238" s="3"/>
      <c r="B238" s="4"/>
      <c r="C238" s="5"/>
      <c r="D238" s="15"/>
      <c r="E238" s="16"/>
      <c r="F238" s="3"/>
      <c r="G238" s="8"/>
      <c r="H238" s="8"/>
      <c r="I238" s="8"/>
      <c r="J238" s="9"/>
      <c r="K238" s="9"/>
      <c r="L238" s="9"/>
      <c r="M238" s="9"/>
      <c r="T238"/>
      <c r="XEQ238"/>
      <c r="XER238"/>
      <c r="XES238"/>
      <c r="XET238"/>
      <c r="XEU238"/>
      <c r="XEV238"/>
      <c r="XEW238"/>
      <c r="XEX238"/>
      <c r="XEY238"/>
      <c r="XEZ238"/>
      <c r="XFA238"/>
      <c r="XFB238"/>
      <c r="XFC238"/>
      <c r="XFD238"/>
    </row>
    <row r="239" spans="1:20 16371:16384" s="2" customFormat="1">
      <c r="A239" s="3"/>
      <c r="B239" s="4"/>
      <c r="C239" s="5"/>
      <c r="D239" s="15"/>
      <c r="E239" s="16"/>
      <c r="F239" s="3"/>
      <c r="G239" s="8"/>
      <c r="H239" s="8"/>
      <c r="I239" s="8"/>
      <c r="J239" s="9"/>
      <c r="K239" s="9"/>
      <c r="L239" s="9"/>
      <c r="M239" s="9"/>
      <c r="T239"/>
      <c r="XEQ239"/>
      <c r="XER239"/>
      <c r="XES239"/>
      <c r="XET239"/>
      <c r="XEU239"/>
      <c r="XEV239"/>
      <c r="XEW239"/>
      <c r="XEX239"/>
      <c r="XEY239"/>
      <c r="XEZ239"/>
      <c r="XFA239"/>
      <c r="XFB239"/>
      <c r="XFC239"/>
      <c r="XFD239"/>
    </row>
    <row r="240" spans="1:20 16371:16384" s="2" customFormat="1">
      <c r="A240" s="3"/>
      <c r="B240" s="4"/>
      <c r="C240" s="5"/>
      <c r="D240" s="15"/>
      <c r="E240" s="16"/>
      <c r="F240" s="3"/>
      <c r="G240" s="8"/>
      <c r="H240" s="8"/>
      <c r="I240" s="8"/>
      <c r="J240" s="9"/>
      <c r="K240" s="9"/>
      <c r="L240" s="9"/>
      <c r="M240" s="9"/>
      <c r="T240"/>
      <c r="XEQ240"/>
      <c r="XER240"/>
      <c r="XES240"/>
      <c r="XET240"/>
      <c r="XEU240"/>
      <c r="XEV240"/>
      <c r="XEW240"/>
      <c r="XEX240"/>
      <c r="XEY240"/>
      <c r="XEZ240"/>
      <c r="XFA240"/>
      <c r="XFB240"/>
      <c r="XFC240"/>
      <c r="XFD240"/>
    </row>
    <row r="241" spans="1:20 16371:16384" s="2" customFormat="1">
      <c r="A241" s="3"/>
      <c r="B241" s="4"/>
      <c r="C241" s="5"/>
      <c r="D241" s="15"/>
      <c r="E241" s="16"/>
      <c r="F241" s="3"/>
      <c r="G241" s="8"/>
      <c r="H241" s="8"/>
      <c r="I241" s="8"/>
      <c r="J241" s="9"/>
      <c r="K241" s="9"/>
      <c r="L241" s="9"/>
      <c r="M241" s="9"/>
      <c r="T241"/>
      <c r="XEQ241"/>
      <c r="XER241"/>
      <c r="XES241"/>
      <c r="XET241"/>
      <c r="XEU241"/>
      <c r="XEV241"/>
      <c r="XEW241"/>
      <c r="XEX241"/>
      <c r="XEY241"/>
      <c r="XEZ241"/>
      <c r="XFA241"/>
      <c r="XFB241"/>
      <c r="XFC241"/>
      <c r="XFD241"/>
    </row>
    <row r="242" spans="1:20 16371:16384" s="2" customFormat="1">
      <c r="A242" s="3"/>
      <c r="B242" s="4"/>
      <c r="C242" s="5"/>
      <c r="D242" s="15"/>
      <c r="E242" s="16"/>
      <c r="F242" s="3"/>
      <c r="G242" s="8"/>
      <c r="H242" s="8"/>
      <c r="I242" s="8"/>
      <c r="J242" s="9"/>
      <c r="K242" s="9"/>
      <c r="L242" s="9"/>
      <c r="M242" s="9"/>
      <c r="T242"/>
      <c r="XEQ242"/>
      <c r="XER242"/>
      <c r="XES242"/>
      <c r="XET242"/>
      <c r="XEU242"/>
      <c r="XEV242"/>
      <c r="XEW242"/>
      <c r="XEX242"/>
      <c r="XEY242"/>
      <c r="XEZ242"/>
      <c r="XFA242"/>
      <c r="XFB242"/>
      <c r="XFC242"/>
      <c r="XFD242"/>
    </row>
    <row r="243" spans="1:20 16371:16384" s="2" customFormat="1">
      <c r="A243" s="3"/>
      <c r="B243" s="4"/>
      <c r="C243" s="5"/>
      <c r="D243" s="15"/>
      <c r="E243" s="16"/>
      <c r="F243" s="3"/>
      <c r="G243" s="8"/>
      <c r="H243" s="8"/>
      <c r="I243" s="8"/>
      <c r="J243" s="9"/>
      <c r="K243" s="9"/>
      <c r="L243" s="9"/>
      <c r="M243" s="9"/>
      <c r="T243"/>
      <c r="XEQ243"/>
      <c r="XER243"/>
      <c r="XES243"/>
      <c r="XET243"/>
      <c r="XEU243"/>
      <c r="XEV243"/>
      <c r="XEW243"/>
      <c r="XEX243"/>
      <c r="XEY243"/>
      <c r="XEZ243"/>
      <c r="XFA243"/>
      <c r="XFB243"/>
      <c r="XFC243"/>
      <c r="XFD243"/>
    </row>
    <row r="244" spans="1:20 16371:16384" s="2" customFormat="1">
      <c r="A244" s="3"/>
      <c r="B244" s="4"/>
      <c r="C244" s="5"/>
      <c r="D244" s="15"/>
      <c r="E244" s="16"/>
      <c r="F244" s="3"/>
      <c r="G244" s="8"/>
      <c r="H244" s="8"/>
      <c r="I244" s="8"/>
      <c r="J244" s="9"/>
      <c r="K244" s="9"/>
      <c r="L244" s="9"/>
      <c r="M244" s="9"/>
      <c r="T244"/>
      <c r="XEQ244"/>
      <c r="XER244"/>
      <c r="XES244"/>
      <c r="XET244"/>
      <c r="XEU244"/>
      <c r="XEV244"/>
      <c r="XEW244"/>
      <c r="XEX244"/>
      <c r="XEY244"/>
      <c r="XEZ244"/>
      <c r="XFA244"/>
      <c r="XFB244"/>
      <c r="XFC244"/>
      <c r="XFD244"/>
    </row>
    <row r="245" spans="1:20 16371:16384" s="2" customFormat="1">
      <c r="A245" s="3"/>
      <c r="B245" s="4"/>
      <c r="C245" s="5"/>
      <c r="D245" s="15"/>
      <c r="E245" s="16"/>
      <c r="F245" s="3"/>
      <c r="G245" s="8"/>
      <c r="H245" s="8"/>
      <c r="I245" s="8"/>
      <c r="J245" s="9"/>
      <c r="K245" s="9"/>
      <c r="L245" s="9"/>
      <c r="M245" s="9"/>
      <c r="T245"/>
      <c r="XEQ245"/>
      <c r="XER245"/>
      <c r="XES245"/>
      <c r="XET245"/>
      <c r="XEU245"/>
      <c r="XEV245"/>
      <c r="XEW245"/>
      <c r="XEX245"/>
      <c r="XEY245"/>
      <c r="XEZ245"/>
      <c r="XFA245"/>
      <c r="XFB245"/>
      <c r="XFC245"/>
      <c r="XFD245"/>
    </row>
    <row r="246" spans="1:20 16371:16384" s="2" customFormat="1">
      <c r="A246" s="3"/>
      <c r="B246" s="4"/>
      <c r="C246" s="5"/>
      <c r="D246" s="15"/>
      <c r="E246" s="16"/>
      <c r="F246" s="3"/>
      <c r="G246" s="8"/>
      <c r="H246" s="8"/>
      <c r="I246" s="8"/>
      <c r="J246" s="9"/>
      <c r="K246" s="9"/>
      <c r="L246" s="9"/>
      <c r="M246" s="9"/>
      <c r="T246"/>
      <c r="XEQ246"/>
      <c r="XER246"/>
      <c r="XES246"/>
      <c r="XET246"/>
      <c r="XEU246"/>
      <c r="XEV246"/>
      <c r="XEW246"/>
      <c r="XEX246"/>
      <c r="XEY246"/>
      <c r="XEZ246"/>
      <c r="XFA246"/>
      <c r="XFB246"/>
      <c r="XFC246"/>
      <c r="XFD246"/>
    </row>
    <row r="247" spans="1:20 16371:16384" s="2" customFormat="1">
      <c r="A247" s="3"/>
      <c r="B247" s="4"/>
      <c r="C247" s="5"/>
      <c r="D247" s="15"/>
      <c r="E247" s="16"/>
      <c r="F247" s="3"/>
      <c r="G247" s="8"/>
      <c r="H247" s="8"/>
      <c r="I247" s="8"/>
      <c r="J247" s="9"/>
      <c r="K247" s="9"/>
      <c r="L247" s="9"/>
      <c r="M247" s="9"/>
      <c r="T247"/>
      <c r="XEQ247"/>
      <c r="XER247"/>
      <c r="XES247"/>
      <c r="XET247"/>
      <c r="XEU247"/>
      <c r="XEV247"/>
      <c r="XEW247"/>
      <c r="XEX247"/>
      <c r="XEY247"/>
      <c r="XEZ247"/>
      <c r="XFA247"/>
      <c r="XFB247"/>
      <c r="XFC247"/>
      <c r="XFD247"/>
    </row>
    <row r="248" spans="1:20 16371:16384" s="2" customFormat="1">
      <c r="A248" s="3"/>
      <c r="B248" s="4"/>
      <c r="C248" s="5"/>
      <c r="D248" s="15"/>
      <c r="E248" s="16"/>
      <c r="F248" s="3"/>
      <c r="G248" s="8"/>
      <c r="H248" s="8"/>
      <c r="I248" s="8"/>
      <c r="J248" s="9"/>
      <c r="K248" s="9"/>
      <c r="L248" s="9"/>
      <c r="M248" s="9"/>
      <c r="T248"/>
      <c r="XEQ248"/>
      <c r="XER248"/>
      <c r="XES248"/>
      <c r="XET248"/>
      <c r="XEU248"/>
      <c r="XEV248"/>
      <c r="XEW248"/>
      <c r="XEX248"/>
      <c r="XEY248"/>
      <c r="XEZ248"/>
      <c r="XFA248"/>
      <c r="XFB248"/>
      <c r="XFC248"/>
      <c r="XFD248"/>
    </row>
    <row r="249" spans="1:20 16371:16384" s="2" customFormat="1">
      <c r="A249" s="3"/>
      <c r="B249" s="4"/>
      <c r="C249" s="5"/>
      <c r="D249" s="15"/>
      <c r="E249" s="16"/>
      <c r="F249" s="3"/>
      <c r="G249" s="8"/>
      <c r="H249" s="8"/>
      <c r="I249" s="8"/>
      <c r="J249" s="9"/>
      <c r="K249" s="9"/>
      <c r="L249" s="9"/>
      <c r="M249" s="9"/>
      <c r="T249"/>
      <c r="XEQ249"/>
      <c r="XER249"/>
      <c r="XES249"/>
      <c r="XET249"/>
      <c r="XEU249"/>
      <c r="XEV249"/>
      <c r="XEW249"/>
      <c r="XEX249"/>
      <c r="XEY249"/>
      <c r="XEZ249"/>
      <c r="XFA249"/>
      <c r="XFB249"/>
      <c r="XFC249"/>
      <c r="XFD249"/>
    </row>
    <row r="250" spans="1:20 16371:16384" s="2" customFormat="1">
      <c r="A250" s="3"/>
      <c r="B250" s="4"/>
      <c r="C250" s="5"/>
      <c r="D250" s="15"/>
      <c r="E250" s="16"/>
      <c r="F250" s="3"/>
      <c r="G250" s="8"/>
      <c r="H250" s="8"/>
      <c r="I250" s="8"/>
      <c r="J250" s="9"/>
      <c r="K250" s="9"/>
      <c r="L250" s="9"/>
      <c r="M250" s="9"/>
      <c r="T250"/>
      <c r="XEQ250"/>
      <c r="XER250"/>
      <c r="XES250"/>
      <c r="XET250"/>
      <c r="XEU250"/>
      <c r="XEV250"/>
      <c r="XEW250"/>
      <c r="XEX250"/>
      <c r="XEY250"/>
      <c r="XEZ250"/>
      <c r="XFA250"/>
      <c r="XFB250"/>
      <c r="XFC250"/>
      <c r="XFD250"/>
    </row>
    <row r="251" spans="1:20 16371:16384" s="2" customFormat="1">
      <c r="A251" s="3"/>
      <c r="B251" s="4"/>
      <c r="C251" s="5"/>
      <c r="D251" s="15"/>
      <c r="E251" s="16"/>
      <c r="F251" s="3"/>
      <c r="G251" s="8"/>
      <c r="H251" s="8"/>
      <c r="I251" s="8"/>
      <c r="J251" s="9"/>
      <c r="K251" s="9"/>
      <c r="L251" s="9"/>
      <c r="M251" s="9"/>
      <c r="T251"/>
      <c r="XEQ251"/>
      <c r="XER251"/>
      <c r="XES251"/>
      <c r="XET251"/>
      <c r="XEU251"/>
      <c r="XEV251"/>
      <c r="XEW251"/>
      <c r="XEX251"/>
      <c r="XEY251"/>
      <c r="XEZ251"/>
      <c r="XFA251"/>
      <c r="XFB251"/>
      <c r="XFC251"/>
      <c r="XFD251"/>
    </row>
    <row r="252" spans="1:20 16371:16384" s="2" customFormat="1">
      <c r="A252" s="3"/>
      <c r="B252" s="4"/>
      <c r="C252" s="5"/>
      <c r="D252" s="15"/>
      <c r="E252" s="16"/>
      <c r="F252" s="3"/>
      <c r="G252" s="8"/>
      <c r="H252" s="8"/>
      <c r="I252" s="8"/>
      <c r="J252" s="9"/>
      <c r="K252" s="9"/>
      <c r="L252" s="9"/>
      <c r="M252" s="9"/>
      <c r="T252"/>
      <c r="XEQ252"/>
      <c r="XER252"/>
      <c r="XES252"/>
      <c r="XET252"/>
      <c r="XEU252"/>
      <c r="XEV252"/>
      <c r="XEW252"/>
      <c r="XEX252"/>
      <c r="XEY252"/>
      <c r="XEZ252"/>
      <c r="XFA252"/>
      <c r="XFB252"/>
      <c r="XFC252"/>
      <c r="XFD252"/>
    </row>
    <row r="253" spans="1:20 16371:16384" s="2" customFormat="1">
      <c r="A253" s="3"/>
      <c r="B253" s="4"/>
      <c r="C253" s="5"/>
      <c r="D253" s="15"/>
      <c r="E253" s="16"/>
      <c r="F253" s="3"/>
      <c r="G253" s="8"/>
      <c r="H253" s="8"/>
      <c r="I253" s="8"/>
      <c r="J253" s="9"/>
      <c r="K253" s="9"/>
      <c r="L253" s="9"/>
      <c r="M253" s="9"/>
      <c r="T253"/>
      <c r="XEQ253"/>
      <c r="XER253"/>
      <c r="XES253"/>
      <c r="XET253"/>
      <c r="XEU253"/>
      <c r="XEV253"/>
      <c r="XEW253"/>
      <c r="XEX253"/>
      <c r="XEY253"/>
      <c r="XEZ253"/>
      <c r="XFA253"/>
      <c r="XFB253"/>
      <c r="XFC253"/>
      <c r="XFD253"/>
    </row>
    <row r="254" spans="1:20 16371:16384" s="2" customFormat="1">
      <c r="A254" s="3"/>
      <c r="B254" s="4"/>
      <c r="C254" s="5"/>
      <c r="D254" s="15"/>
      <c r="E254" s="16"/>
      <c r="F254" s="3"/>
      <c r="G254" s="8"/>
      <c r="H254" s="8"/>
      <c r="I254" s="8"/>
      <c r="J254" s="9"/>
      <c r="K254" s="9"/>
      <c r="L254" s="9"/>
      <c r="M254" s="9"/>
      <c r="T254"/>
      <c r="XEQ254"/>
      <c r="XER254"/>
      <c r="XES254"/>
      <c r="XET254"/>
      <c r="XEU254"/>
      <c r="XEV254"/>
      <c r="XEW254"/>
      <c r="XEX254"/>
      <c r="XEY254"/>
      <c r="XEZ254"/>
      <c r="XFA254"/>
      <c r="XFB254"/>
      <c r="XFC254"/>
      <c r="XFD254"/>
    </row>
    <row r="255" spans="1:20 16371:16384" s="2" customFormat="1">
      <c r="A255" s="3"/>
      <c r="B255" s="4"/>
      <c r="C255" s="5"/>
      <c r="D255" s="15"/>
      <c r="E255" s="16"/>
      <c r="F255" s="3"/>
      <c r="G255" s="8"/>
      <c r="H255" s="8"/>
      <c r="I255" s="8"/>
      <c r="J255" s="9"/>
      <c r="K255" s="9"/>
      <c r="L255" s="9"/>
      <c r="M255" s="9"/>
      <c r="T255"/>
      <c r="XEQ255"/>
      <c r="XER255"/>
      <c r="XES255"/>
      <c r="XET255"/>
      <c r="XEU255"/>
      <c r="XEV255"/>
      <c r="XEW255"/>
      <c r="XEX255"/>
      <c r="XEY255"/>
      <c r="XEZ255"/>
      <c r="XFA255"/>
      <c r="XFB255"/>
      <c r="XFC255"/>
      <c r="XFD255"/>
    </row>
    <row r="256" spans="1:20 16371:16384" s="2" customFormat="1">
      <c r="A256" s="3"/>
      <c r="B256" s="4"/>
      <c r="C256" s="5"/>
      <c r="D256" s="15"/>
      <c r="E256" s="16"/>
      <c r="F256" s="3"/>
      <c r="G256" s="8"/>
      <c r="H256" s="8"/>
      <c r="I256" s="8"/>
      <c r="J256" s="9"/>
      <c r="K256" s="9"/>
      <c r="L256" s="9"/>
      <c r="M256" s="9"/>
      <c r="T256"/>
      <c r="XEQ256"/>
      <c r="XER256"/>
      <c r="XES256"/>
      <c r="XET256"/>
      <c r="XEU256"/>
      <c r="XEV256"/>
      <c r="XEW256"/>
      <c r="XEX256"/>
      <c r="XEY256"/>
      <c r="XEZ256"/>
      <c r="XFA256"/>
      <c r="XFB256"/>
      <c r="XFC256"/>
      <c r="XFD256"/>
    </row>
    <row r="257" spans="1:20 16371:16384" s="2" customFormat="1">
      <c r="A257" s="3"/>
      <c r="B257" s="4"/>
      <c r="C257" s="5"/>
      <c r="D257" s="15"/>
      <c r="E257" s="16"/>
      <c r="F257" s="3"/>
      <c r="G257" s="8"/>
      <c r="H257" s="8"/>
      <c r="I257" s="8"/>
      <c r="J257" s="9"/>
      <c r="K257" s="9"/>
      <c r="L257" s="9"/>
      <c r="M257" s="9"/>
      <c r="T257"/>
      <c r="XEQ257"/>
      <c r="XER257"/>
      <c r="XES257"/>
      <c r="XET257"/>
      <c r="XEU257"/>
      <c r="XEV257"/>
      <c r="XEW257"/>
      <c r="XEX257"/>
      <c r="XEY257"/>
      <c r="XEZ257"/>
      <c r="XFA257"/>
      <c r="XFB257"/>
      <c r="XFC257"/>
      <c r="XFD257"/>
    </row>
    <row r="258" spans="1:20 16371:16384" s="2" customFormat="1">
      <c r="A258" s="3"/>
      <c r="B258" s="4"/>
      <c r="C258" s="5"/>
      <c r="D258" s="15"/>
      <c r="E258" s="16"/>
      <c r="F258" s="3"/>
      <c r="G258" s="8"/>
      <c r="H258" s="8"/>
      <c r="I258" s="8"/>
      <c r="J258" s="9"/>
      <c r="K258" s="9"/>
      <c r="L258" s="9"/>
      <c r="M258" s="9"/>
      <c r="T258"/>
      <c r="XEQ258"/>
      <c r="XER258"/>
      <c r="XES258"/>
      <c r="XET258"/>
      <c r="XEU258"/>
      <c r="XEV258"/>
      <c r="XEW258"/>
      <c r="XEX258"/>
      <c r="XEY258"/>
      <c r="XEZ258"/>
      <c r="XFA258"/>
      <c r="XFB258"/>
      <c r="XFC258"/>
      <c r="XFD258"/>
    </row>
    <row r="259" spans="1:20 16371:16384" s="2" customFormat="1">
      <c r="A259" s="3"/>
      <c r="B259" s="4"/>
      <c r="C259" s="5"/>
      <c r="D259" s="15"/>
      <c r="E259" s="16"/>
      <c r="F259" s="3"/>
      <c r="G259" s="8"/>
      <c r="H259" s="8"/>
      <c r="I259" s="8"/>
      <c r="J259" s="9"/>
      <c r="K259" s="9"/>
      <c r="L259" s="9"/>
      <c r="M259" s="9"/>
      <c r="T259"/>
      <c r="XEQ259"/>
      <c r="XER259"/>
      <c r="XES259"/>
      <c r="XET259"/>
      <c r="XEU259"/>
      <c r="XEV259"/>
      <c r="XEW259"/>
      <c r="XEX259"/>
      <c r="XEY259"/>
      <c r="XEZ259"/>
      <c r="XFA259"/>
      <c r="XFB259"/>
      <c r="XFC259"/>
      <c r="XFD259"/>
    </row>
    <row r="260" spans="1:20 16371:16384" s="2" customFormat="1">
      <c r="A260" s="3"/>
      <c r="B260" s="4"/>
      <c r="C260" s="5"/>
      <c r="D260" s="15"/>
      <c r="E260" s="16"/>
      <c r="F260" s="3"/>
      <c r="G260" s="8"/>
      <c r="H260" s="8"/>
      <c r="I260" s="8"/>
      <c r="J260" s="9"/>
      <c r="K260" s="9"/>
      <c r="L260" s="9"/>
      <c r="M260" s="9"/>
      <c r="T260"/>
      <c r="XEQ260"/>
      <c r="XER260"/>
      <c r="XES260"/>
      <c r="XET260"/>
      <c r="XEU260"/>
      <c r="XEV260"/>
      <c r="XEW260"/>
      <c r="XEX260"/>
      <c r="XEY260"/>
      <c r="XEZ260"/>
      <c r="XFA260"/>
      <c r="XFB260"/>
      <c r="XFC260"/>
      <c r="XFD260"/>
    </row>
    <row r="261" spans="1:20 16371:16384" s="2" customFormat="1">
      <c r="A261" s="3"/>
      <c r="B261" s="4"/>
      <c r="C261" s="5"/>
      <c r="D261" s="15"/>
      <c r="E261" s="16"/>
      <c r="F261" s="3"/>
      <c r="G261" s="8"/>
      <c r="H261" s="8"/>
      <c r="I261" s="8"/>
      <c r="J261" s="9"/>
      <c r="K261" s="9"/>
      <c r="L261" s="9"/>
      <c r="M261" s="9"/>
      <c r="T261"/>
      <c r="XEQ261"/>
      <c r="XER261"/>
      <c r="XES261"/>
      <c r="XET261"/>
      <c r="XEU261"/>
      <c r="XEV261"/>
      <c r="XEW261"/>
      <c r="XEX261"/>
      <c r="XEY261"/>
      <c r="XEZ261"/>
      <c r="XFA261"/>
      <c r="XFB261"/>
      <c r="XFC261"/>
      <c r="XFD261"/>
    </row>
    <row r="262" spans="1:20 16371:16384" s="2" customFormat="1">
      <c r="A262" s="3"/>
      <c r="B262" s="4"/>
      <c r="C262" s="5"/>
      <c r="D262" s="15"/>
      <c r="E262" s="16"/>
      <c r="F262" s="3"/>
      <c r="G262" s="8"/>
      <c r="H262" s="8"/>
      <c r="I262" s="8"/>
      <c r="J262" s="9"/>
      <c r="K262" s="9"/>
      <c r="L262" s="9"/>
      <c r="M262" s="9"/>
      <c r="T262"/>
      <c r="XEQ262"/>
      <c r="XER262"/>
      <c r="XES262"/>
      <c r="XET262"/>
      <c r="XEU262"/>
      <c r="XEV262"/>
      <c r="XEW262"/>
      <c r="XEX262"/>
      <c r="XEY262"/>
      <c r="XEZ262"/>
      <c r="XFA262"/>
      <c r="XFB262"/>
      <c r="XFC262"/>
      <c r="XFD262"/>
    </row>
    <row r="263" spans="1:20 16371:16384" s="2" customFormat="1">
      <c r="A263" s="3"/>
      <c r="B263" s="4"/>
      <c r="C263" s="5"/>
      <c r="D263" s="15"/>
      <c r="E263" s="16"/>
      <c r="F263" s="3"/>
      <c r="G263" s="8"/>
      <c r="H263" s="8"/>
      <c r="I263" s="8"/>
      <c r="J263" s="9"/>
      <c r="K263" s="9"/>
      <c r="L263" s="9"/>
      <c r="M263" s="9"/>
      <c r="T263"/>
      <c r="XEQ263"/>
      <c r="XER263"/>
      <c r="XES263"/>
      <c r="XET263"/>
      <c r="XEU263"/>
      <c r="XEV263"/>
      <c r="XEW263"/>
      <c r="XEX263"/>
      <c r="XEY263"/>
      <c r="XEZ263"/>
      <c r="XFA263"/>
      <c r="XFB263"/>
      <c r="XFC263"/>
      <c r="XFD263"/>
    </row>
    <row r="264" spans="1:20 16371:16384" s="2" customFormat="1">
      <c r="A264" s="3"/>
      <c r="B264" s="4"/>
      <c r="C264" s="5"/>
      <c r="D264" s="15"/>
      <c r="E264" s="16"/>
      <c r="F264" s="3"/>
      <c r="G264" s="8"/>
      <c r="H264" s="8"/>
      <c r="I264" s="8"/>
      <c r="J264" s="9"/>
      <c r="K264" s="9"/>
      <c r="L264" s="9"/>
      <c r="M264" s="9"/>
      <c r="T264"/>
      <c r="XEQ264"/>
      <c r="XER264"/>
      <c r="XES264"/>
      <c r="XET264"/>
      <c r="XEU264"/>
      <c r="XEV264"/>
      <c r="XEW264"/>
      <c r="XEX264"/>
      <c r="XEY264"/>
      <c r="XEZ264"/>
      <c r="XFA264"/>
      <c r="XFB264"/>
      <c r="XFC264"/>
      <c r="XFD264"/>
    </row>
    <row r="265" spans="1:20 16371:16384" s="2" customFormat="1">
      <c r="A265" s="3"/>
      <c r="B265" s="4"/>
      <c r="C265" s="5"/>
      <c r="D265" s="15"/>
      <c r="E265" s="16"/>
      <c r="F265" s="3"/>
      <c r="G265" s="8"/>
      <c r="H265" s="8"/>
      <c r="I265" s="8"/>
      <c r="J265" s="9"/>
      <c r="K265" s="9"/>
      <c r="L265" s="9"/>
      <c r="M265" s="9"/>
      <c r="T265"/>
      <c r="XEQ265"/>
      <c r="XER265"/>
      <c r="XES265"/>
      <c r="XET265"/>
      <c r="XEU265"/>
      <c r="XEV265"/>
      <c r="XEW265"/>
      <c r="XEX265"/>
      <c r="XEY265"/>
      <c r="XEZ265"/>
      <c r="XFA265"/>
      <c r="XFB265"/>
      <c r="XFC265"/>
      <c r="XFD265"/>
    </row>
    <row r="266" spans="1:20 16371:16384" s="2" customFormat="1">
      <c r="A266" s="3"/>
      <c r="B266" s="4"/>
      <c r="C266" s="5"/>
      <c r="D266" s="15"/>
      <c r="E266" s="16"/>
      <c r="F266" s="3"/>
      <c r="G266" s="8"/>
      <c r="H266" s="8"/>
      <c r="I266" s="8"/>
      <c r="J266" s="9"/>
      <c r="K266" s="9"/>
      <c r="L266" s="9"/>
      <c r="M266" s="9"/>
      <c r="T266"/>
      <c r="XEQ266"/>
      <c r="XER266"/>
      <c r="XES266"/>
      <c r="XET266"/>
      <c r="XEU266"/>
      <c r="XEV266"/>
      <c r="XEW266"/>
      <c r="XEX266"/>
      <c r="XEY266"/>
      <c r="XEZ266"/>
      <c r="XFA266"/>
      <c r="XFB266"/>
      <c r="XFC266"/>
      <c r="XFD266"/>
    </row>
    <row r="267" spans="1:20 16371:16384" s="2" customFormat="1">
      <c r="A267" s="3"/>
      <c r="B267" s="4"/>
      <c r="C267" s="5"/>
      <c r="D267" s="15"/>
      <c r="E267" s="16"/>
      <c r="F267" s="3"/>
      <c r="G267" s="8"/>
      <c r="H267" s="8"/>
      <c r="I267" s="8"/>
      <c r="J267" s="9"/>
      <c r="K267" s="9"/>
      <c r="L267" s="9"/>
      <c r="M267" s="9"/>
      <c r="T267"/>
      <c r="XEQ267"/>
      <c r="XER267"/>
      <c r="XES267"/>
      <c r="XET267"/>
      <c r="XEU267"/>
      <c r="XEV267"/>
      <c r="XEW267"/>
      <c r="XEX267"/>
      <c r="XEY267"/>
      <c r="XEZ267"/>
      <c r="XFA267"/>
      <c r="XFB267"/>
      <c r="XFC267"/>
      <c r="XFD267"/>
    </row>
    <row r="268" spans="1:20 16371:16384" s="2" customFormat="1">
      <c r="A268" s="3"/>
      <c r="B268" s="4"/>
      <c r="C268" s="5"/>
      <c r="D268" s="15"/>
      <c r="E268" s="16"/>
      <c r="F268" s="3"/>
      <c r="G268" s="8"/>
      <c r="H268" s="8"/>
      <c r="I268" s="8"/>
      <c r="J268" s="9"/>
      <c r="K268" s="9"/>
      <c r="L268" s="9"/>
      <c r="M268" s="9"/>
      <c r="T268"/>
      <c r="XEQ268"/>
      <c r="XER268"/>
      <c r="XES268"/>
      <c r="XET268"/>
      <c r="XEU268"/>
      <c r="XEV268"/>
      <c r="XEW268"/>
      <c r="XEX268"/>
      <c r="XEY268"/>
      <c r="XEZ268"/>
      <c r="XFA268"/>
      <c r="XFB268"/>
      <c r="XFC268"/>
      <c r="XFD268"/>
    </row>
    <row r="269" spans="1:20 16371:16384" s="2" customFormat="1">
      <c r="A269" s="3"/>
      <c r="B269" s="4"/>
      <c r="C269" s="5"/>
      <c r="D269" s="15"/>
      <c r="E269" s="16"/>
      <c r="F269" s="3"/>
      <c r="G269" s="8"/>
      <c r="H269" s="8"/>
      <c r="I269" s="8"/>
      <c r="J269" s="9"/>
      <c r="K269" s="9"/>
      <c r="L269" s="9"/>
      <c r="M269" s="9"/>
      <c r="T269"/>
      <c r="XEQ269"/>
      <c r="XER269"/>
      <c r="XES269"/>
      <c r="XET269"/>
      <c r="XEU269"/>
      <c r="XEV269"/>
      <c r="XEW269"/>
      <c r="XEX269"/>
      <c r="XEY269"/>
      <c r="XEZ269"/>
      <c r="XFA269"/>
      <c r="XFB269"/>
      <c r="XFC269"/>
      <c r="XFD269"/>
    </row>
    <row r="270" spans="1:20 16371:16384" s="2" customFormat="1">
      <c r="A270" s="3"/>
      <c r="B270" s="4"/>
      <c r="C270" s="5"/>
      <c r="D270" s="15"/>
      <c r="E270" s="16"/>
      <c r="F270" s="3"/>
      <c r="G270" s="8"/>
      <c r="H270" s="8"/>
      <c r="I270" s="8"/>
      <c r="J270" s="9"/>
      <c r="K270" s="9"/>
      <c r="L270" s="9"/>
      <c r="M270" s="9"/>
      <c r="T270"/>
      <c r="XEQ270"/>
      <c r="XER270"/>
      <c r="XES270"/>
      <c r="XET270"/>
      <c r="XEU270"/>
      <c r="XEV270"/>
      <c r="XEW270"/>
      <c r="XEX270"/>
      <c r="XEY270"/>
      <c r="XEZ270"/>
      <c r="XFA270"/>
      <c r="XFB270"/>
      <c r="XFC270"/>
      <c r="XFD270"/>
    </row>
    <row r="271" spans="1:20 16371:16384" s="2" customFormat="1">
      <c r="A271" s="3"/>
      <c r="B271" s="4"/>
      <c r="C271" s="5"/>
      <c r="D271" s="15"/>
      <c r="E271" s="16"/>
      <c r="F271" s="3"/>
      <c r="G271" s="8"/>
      <c r="H271" s="8"/>
      <c r="I271" s="8"/>
      <c r="J271" s="9"/>
      <c r="K271" s="9"/>
      <c r="L271" s="9"/>
      <c r="M271" s="9"/>
      <c r="T271"/>
      <c r="XEQ271"/>
      <c r="XER271"/>
      <c r="XES271"/>
      <c r="XET271"/>
      <c r="XEU271"/>
      <c r="XEV271"/>
      <c r="XEW271"/>
      <c r="XEX271"/>
      <c r="XEY271"/>
      <c r="XEZ271"/>
      <c r="XFA271"/>
      <c r="XFB271"/>
      <c r="XFC271"/>
      <c r="XFD271"/>
    </row>
    <row r="272" spans="1:20 16371:16384" s="2" customFormat="1">
      <c r="A272" s="3"/>
      <c r="B272" s="4"/>
      <c r="C272" s="5"/>
      <c r="D272" s="15"/>
      <c r="E272" s="16"/>
      <c r="F272" s="3"/>
      <c r="G272" s="8"/>
      <c r="H272" s="8"/>
      <c r="I272" s="8"/>
      <c r="J272" s="9"/>
      <c r="K272" s="9"/>
      <c r="L272" s="9"/>
      <c r="M272" s="9"/>
      <c r="T272"/>
      <c r="XEQ272"/>
      <c r="XER272"/>
      <c r="XES272"/>
      <c r="XET272"/>
      <c r="XEU272"/>
      <c r="XEV272"/>
      <c r="XEW272"/>
      <c r="XEX272"/>
      <c r="XEY272"/>
      <c r="XEZ272"/>
      <c r="XFA272"/>
      <c r="XFB272"/>
      <c r="XFC272"/>
      <c r="XFD272"/>
    </row>
    <row r="273" spans="1:20 16371:16384" s="2" customFormat="1">
      <c r="A273" s="3"/>
      <c r="B273" s="4"/>
      <c r="C273" s="5"/>
      <c r="D273" s="15"/>
      <c r="E273" s="16"/>
      <c r="F273" s="3"/>
      <c r="G273" s="8"/>
      <c r="H273" s="8"/>
      <c r="I273" s="8"/>
      <c r="J273" s="9"/>
      <c r="K273" s="9"/>
      <c r="L273" s="9"/>
      <c r="M273" s="9"/>
      <c r="T273"/>
      <c r="XEQ273"/>
      <c r="XER273"/>
      <c r="XES273"/>
      <c r="XET273"/>
      <c r="XEU273"/>
      <c r="XEV273"/>
      <c r="XEW273"/>
      <c r="XEX273"/>
      <c r="XEY273"/>
      <c r="XEZ273"/>
      <c r="XFA273"/>
      <c r="XFB273"/>
      <c r="XFC273"/>
      <c r="XFD273"/>
    </row>
    <row r="274" spans="1:20 16371:16384" s="2" customFormat="1">
      <c r="A274" s="3"/>
      <c r="B274" s="4"/>
      <c r="C274" s="5"/>
      <c r="D274" s="15"/>
      <c r="E274" s="16"/>
      <c r="F274" s="3"/>
      <c r="G274" s="8"/>
      <c r="H274" s="8"/>
      <c r="I274" s="8"/>
      <c r="J274" s="9"/>
      <c r="K274" s="9"/>
      <c r="L274" s="9"/>
      <c r="M274" s="9"/>
      <c r="T274"/>
      <c r="XEQ274"/>
      <c r="XER274"/>
      <c r="XES274"/>
      <c r="XET274"/>
      <c r="XEU274"/>
      <c r="XEV274"/>
      <c r="XEW274"/>
      <c r="XEX274"/>
      <c r="XEY274"/>
      <c r="XEZ274"/>
      <c r="XFA274"/>
      <c r="XFB274"/>
      <c r="XFC274"/>
      <c r="XFD274"/>
    </row>
    <row r="275" spans="1:20 16371:16384" s="2" customFormat="1">
      <c r="A275" s="3"/>
      <c r="B275" s="4"/>
      <c r="C275" s="5"/>
      <c r="D275" s="15"/>
      <c r="E275" s="16"/>
      <c r="F275" s="3"/>
      <c r="G275" s="8"/>
      <c r="H275" s="8"/>
      <c r="I275" s="8"/>
      <c r="J275" s="9"/>
      <c r="K275" s="9"/>
      <c r="L275" s="9"/>
      <c r="M275" s="9"/>
      <c r="T275"/>
      <c r="XEQ275"/>
      <c r="XER275"/>
      <c r="XES275"/>
      <c r="XET275"/>
      <c r="XEU275"/>
      <c r="XEV275"/>
      <c r="XEW275"/>
      <c r="XEX275"/>
      <c r="XEY275"/>
      <c r="XEZ275"/>
      <c r="XFA275"/>
      <c r="XFB275"/>
      <c r="XFC275"/>
      <c r="XFD275"/>
    </row>
    <row r="276" spans="1:20 16371:16384" s="2" customFormat="1">
      <c r="A276" s="3"/>
      <c r="B276" s="4"/>
      <c r="C276" s="5"/>
      <c r="D276" s="15"/>
      <c r="E276" s="16"/>
      <c r="F276" s="3"/>
      <c r="G276" s="8"/>
      <c r="H276" s="8"/>
      <c r="I276" s="8"/>
      <c r="J276" s="9"/>
      <c r="K276" s="9"/>
      <c r="L276" s="9"/>
      <c r="M276" s="9"/>
      <c r="T276"/>
      <c r="XEQ276"/>
      <c r="XER276"/>
      <c r="XES276"/>
      <c r="XET276"/>
      <c r="XEU276"/>
      <c r="XEV276"/>
      <c r="XEW276"/>
      <c r="XEX276"/>
      <c r="XEY276"/>
      <c r="XEZ276"/>
      <c r="XFA276"/>
      <c r="XFB276"/>
      <c r="XFC276"/>
      <c r="XFD276"/>
    </row>
    <row r="277" spans="1:20 16371:16384" s="2" customFormat="1">
      <c r="A277" s="3"/>
      <c r="B277" s="4"/>
      <c r="C277" s="5"/>
      <c r="D277" s="15"/>
      <c r="E277" s="16"/>
      <c r="F277" s="3"/>
      <c r="G277" s="8"/>
      <c r="H277" s="8"/>
      <c r="I277" s="8"/>
      <c r="J277" s="9"/>
      <c r="K277" s="9"/>
      <c r="L277" s="9"/>
      <c r="M277" s="9"/>
      <c r="T277"/>
      <c r="XEQ277"/>
      <c r="XER277"/>
      <c r="XES277"/>
      <c r="XET277"/>
      <c r="XEU277"/>
      <c r="XEV277"/>
      <c r="XEW277"/>
      <c r="XEX277"/>
      <c r="XEY277"/>
      <c r="XEZ277"/>
      <c r="XFA277"/>
      <c r="XFB277"/>
      <c r="XFC277"/>
      <c r="XFD277"/>
    </row>
    <row r="278" spans="1:20 16371:16384" s="2" customFormat="1">
      <c r="A278" s="3"/>
      <c r="B278" s="4"/>
      <c r="C278" s="5"/>
      <c r="D278" s="15"/>
      <c r="E278" s="16"/>
      <c r="F278" s="3"/>
      <c r="G278" s="8"/>
      <c r="H278" s="8"/>
      <c r="I278" s="8"/>
      <c r="J278" s="9"/>
      <c r="K278" s="9"/>
      <c r="L278" s="9"/>
      <c r="M278" s="9"/>
      <c r="T278"/>
      <c r="XEQ278"/>
      <c r="XER278"/>
      <c r="XES278"/>
      <c r="XET278"/>
      <c r="XEU278"/>
      <c r="XEV278"/>
      <c r="XEW278"/>
      <c r="XEX278"/>
      <c r="XEY278"/>
      <c r="XEZ278"/>
      <c r="XFA278"/>
      <c r="XFB278"/>
      <c r="XFC278"/>
      <c r="XFD278"/>
    </row>
    <row r="279" spans="1:20 16371:16384" s="2" customFormat="1">
      <c r="A279" s="3"/>
      <c r="B279" s="4"/>
      <c r="C279" s="5"/>
      <c r="D279" s="15"/>
      <c r="E279" s="16"/>
      <c r="F279" s="3"/>
      <c r="G279" s="8"/>
      <c r="H279" s="8"/>
      <c r="I279" s="8"/>
      <c r="J279" s="9"/>
      <c r="K279" s="9"/>
      <c r="L279" s="9"/>
      <c r="M279" s="9"/>
      <c r="T279"/>
      <c r="XEQ279"/>
      <c r="XER279"/>
      <c r="XES279"/>
      <c r="XET279"/>
      <c r="XEU279"/>
      <c r="XEV279"/>
      <c r="XEW279"/>
      <c r="XEX279"/>
      <c r="XEY279"/>
      <c r="XEZ279"/>
      <c r="XFA279"/>
      <c r="XFB279"/>
      <c r="XFC279"/>
      <c r="XFD279"/>
    </row>
    <row r="280" spans="1:20 16371:16384" s="2" customFormat="1">
      <c r="A280" s="3"/>
      <c r="B280" s="4"/>
      <c r="C280" s="5"/>
      <c r="D280" s="15"/>
      <c r="E280" s="16"/>
      <c r="F280" s="3"/>
      <c r="G280" s="8"/>
      <c r="H280" s="8"/>
      <c r="I280" s="8"/>
      <c r="J280" s="9"/>
      <c r="K280" s="9"/>
      <c r="L280" s="9"/>
      <c r="M280" s="9"/>
      <c r="T280"/>
      <c r="XEQ280"/>
      <c r="XER280"/>
      <c r="XES280"/>
      <c r="XET280"/>
      <c r="XEU280"/>
      <c r="XEV280"/>
      <c r="XEW280"/>
      <c r="XEX280"/>
      <c r="XEY280"/>
      <c r="XEZ280"/>
      <c r="XFA280"/>
      <c r="XFB280"/>
      <c r="XFC280"/>
      <c r="XFD280"/>
    </row>
    <row r="281" spans="1:20 16371:16384" s="2" customFormat="1">
      <c r="A281" s="3"/>
      <c r="B281" s="4"/>
      <c r="C281" s="5"/>
      <c r="D281" s="15"/>
      <c r="E281" s="16"/>
      <c r="F281" s="3"/>
      <c r="G281" s="8"/>
      <c r="H281" s="8"/>
      <c r="I281" s="8"/>
      <c r="J281" s="9"/>
      <c r="K281" s="9"/>
      <c r="L281" s="9"/>
      <c r="M281" s="9"/>
      <c r="T281"/>
      <c r="XEQ281"/>
      <c r="XER281"/>
      <c r="XES281"/>
      <c r="XET281"/>
      <c r="XEU281"/>
      <c r="XEV281"/>
      <c r="XEW281"/>
      <c r="XEX281"/>
      <c r="XEY281"/>
      <c r="XEZ281"/>
      <c r="XFA281"/>
      <c r="XFB281"/>
      <c r="XFC281"/>
      <c r="XFD281"/>
    </row>
    <row r="282" spans="1:20 16371:16384" s="2" customFormat="1">
      <c r="A282" s="3"/>
      <c r="B282" s="4"/>
      <c r="C282" s="5"/>
      <c r="D282" s="15"/>
      <c r="E282" s="16"/>
      <c r="F282" s="3"/>
      <c r="G282" s="8"/>
      <c r="H282" s="8"/>
      <c r="I282" s="8"/>
      <c r="J282" s="9"/>
      <c r="K282" s="9"/>
      <c r="L282" s="9"/>
      <c r="M282" s="9"/>
      <c r="T282"/>
      <c r="XEQ282"/>
      <c r="XER282"/>
      <c r="XES282"/>
      <c r="XET282"/>
      <c r="XEU282"/>
      <c r="XEV282"/>
      <c r="XEW282"/>
      <c r="XEX282"/>
      <c r="XEY282"/>
      <c r="XEZ282"/>
      <c r="XFA282"/>
      <c r="XFB282"/>
      <c r="XFC282"/>
      <c r="XFD282"/>
    </row>
    <row r="283" spans="1:20 16371:16384" s="2" customFormat="1">
      <c r="A283" s="3"/>
      <c r="B283" s="4"/>
      <c r="C283" s="5"/>
      <c r="D283" s="15"/>
      <c r="E283" s="16"/>
      <c r="F283" s="3"/>
      <c r="G283" s="8"/>
      <c r="H283" s="8"/>
      <c r="I283" s="8"/>
      <c r="J283" s="9"/>
      <c r="K283" s="9"/>
      <c r="L283" s="9"/>
      <c r="M283" s="9"/>
      <c r="T283"/>
      <c r="XEQ283"/>
      <c r="XER283"/>
      <c r="XES283"/>
      <c r="XET283"/>
      <c r="XEU283"/>
      <c r="XEV283"/>
      <c r="XEW283"/>
      <c r="XEX283"/>
      <c r="XEY283"/>
      <c r="XEZ283"/>
      <c r="XFA283"/>
      <c r="XFB283"/>
      <c r="XFC283"/>
      <c r="XFD283"/>
    </row>
    <row r="284" spans="1:20 16371:16384" s="2" customFormat="1">
      <c r="A284" s="3"/>
      <c r="B284" s="4"/>
      <c r="C284" s="5"/>
      <c r="D284" s="15"/>
      <c r="E284" s="16"/>
      <c r="F284" s="3"/>
      <c r="G284" s="8"/>
      <c r="H284" s="8"/>
      <c r="I284" s="8"/>
      <c r="J284" s="9"/>
      <c r="K284" s="9"/>
      <c r="L284" s="9"/>
      <c r="M284" s="9"/>
      <c r="T284"/>
      <c r="XEQ284"/>
      <c r="XER284"/>
      <c r="XES284"/>
      <c r="XET284"/>
      <c r="XEU284"/>
      <c r="XEV284"/>
      <c r="XEW284"/>
      <c r="XEX284"/>
      <c r="XEY284"/>
      <c r="XEZ284"/>
      <c r="XFA284"/>
      <c r="XFB284"/>
      <c r="XFC284"/>
      <c r="XFD284"/>
    </row>
    <row r="285" spans="1:20 16371:16384" s="2" customFormat="1">
      <c r="A285" s="3"/>
      <c r="B285" s="4"/>
      <c r="C285" s="5"/>
      <c r="D285" s="15"/>
      <c r="E285" s="16"/>
      <c r="F285" s="3"/>
      <c r="G285" s="8"/>
      <c r="H285" s="8"/>
      <c r="I285" s="8"/>
      <c r="J285" s="9"/>
      <c r="K285" s="9"/>
      <c r="L285" s="9"/>
      <c r="M285" s="9"/>
      <c r="T285"/>
      <c r="XEQ285"/>
      <c r="XER285"/>
      <c r="XES285"/>
      <c r="XET285"/>
      <c r="XEU285"/>
      <c r="XEV285"/>
      <c r="XEW285"/>
      <c r="XEX285"/>
      <c r="XEY285"/>
      <c r="XEZ285"/>
      <c r="XFA285"/>
      <c r="XFB285"/>
      <c r="XFC285"/>
      <c r="XFD285"/>
    </row>
    <row r="286" spans="1:20 16371:16384" s="2" customFormat="1">
      <c r="A286" s="3"/>
      <c r="B286" s="4"/>
      <c r="C286" s="5"/>
      <c r="D286" s="15"/>
      <c r="E286" s="16"/>
      <c r="F286" s="3"/>
      <c r="G286" s="8"/>
      <c r="H286" s="8"/>
      <c r="I286" s="8"/>
      <c r="J286" s="9"/>
      <c r="K286" s="9"/>
      <c r="L286" s="9"/>
      <c r="M286" s="9"/>
      <c r="T286"/>
      <c r="XEQ286"/>
      <c r="XER286"/>
      <c r="XES286"/>
      <c r="XET286"/>
      <c r="XEU286"/>
      <c r="XEV286"/>
      <c r="XEW286"/>
      <c r="XEX286"/>
      <c r="XEY286"/>
      <c r="XEZ286"/>
      <c r="XFA286"/>
      <c r="XFB286"/>
      <c r="XFC286"/>
      <c r="XFD286"/>
    </row>
    <row r="287" spans="1:20 16371:16384" s="2" customFormat="1">
      <c r="A287" s="3"/>
      <c r="B287" s="4"/>
      <c r="C287" s="5"/>
      <c r="D287" s="15"/>
      <c r="E287" s="16"/>
      <c r="F287" s="3"/>
      <c r="G287" s="8"/>
      <c r="H287" s="8"/>
      <c r="I287" s="8"/>
      <c r="J287" s="9"/>
      <c r="K287" s="9"/>
      <c r="L287" s="9"/>
      <c r="M287" s="9"/>
      <c r="T287"/>
      <c r="XEQ287"/>
      <c r="XER287"/>
      <c r="XES287"/>
      <c r="XET287"/>
      <c r="XEU287"/>
      <c r="XEV287"/>
      <c r="XEW287"/>
      <c r="XEX287"/>
      <c r="XEY287"/>
      <c r="XEZ287"/>
      <c r="XFA287"/>
      <c r="XFB287"/>
      <c r="XFC287"/>
      <c r="XFD287"/>
    </row>
    <row r="288" spans="1:20 16371:16384" s="2" customFormat="1">
      <c r="A288" s="3"/>
      <c r="B288" s="4"/>
      <c r="C288" s="5"/>
      <c r="D288" s="15"/>
      <c r="E288" s="16"/>
      <c r="F288" s="3"/>
      <c r="G288" s="8"/>
      <c r="H288" s="8"/>
      <c r="I288" s="8"/>
      <c r="J288" s="9"/>
      <c r="K288" s="9"/>
      <c r="L288" s="9"/>
      <c r="M288" s="9"/>
      <c r="T288"/>
      <c r="XEQ288"/>
      <c r="XER288"/>
      <c r="XES288"/>
      <c r="XET288"/>
      <c r="XEU288"/>
      <c r="XEV288"/>
      <c r="XEW288"/>
      <c r="XEX288"/>
      <c r="XEY288"/>
      <c r="XEZ288"/>
      <c r="XFA288"/>
      <c r="XFB288"/>
      <c r="XFC288"/>
      <c r="XFD288"/>
    </row>
    <row r="289" spans="1:20 16371:16384" s="2" customFormat="1">
      <c r="A289" s="3"/>
      <c r="B289" s="4"/>
      <c r="C289" s="5"/>
      <c r="D289" s="15"/>
      <c r="E289" s="16"/>
      <c r="F289" s="3"/>
      <c r="G289" s="8"/>
      <c r="H289" s="8"/>
      <c r="I289" s="8"/>
      <c r="J289" s="9"/>
      <c r="K289" s="9"/>
      <c r="L289" s="9"/>
      <c r="M289" s="9"/>
      <c r="T289"/>
      <c r="XEQ289"/>
      <c r="XER289"/>
      <c r="XES289"/>
      <c r="XET289"/>
      <c r="XEU289"/>
      <c r="XEV289"/>
      <c r="XEW289"/>
      <c r="XEX289"/>
      <c r="XEY289"/>
      <c r="XEZ289"/>
      <c r="XFA289"/>
      <c r="XFB289"/>
      <c r="XFC289"/>
      <c r="XFD289"/>
    </row>
    <row r="290" spans="1:20 16371:16384" s="2" customFormat="1">
      <c r="A290" s="3"/>
      <c r="B290" s="4"/>
      <c r="C290" s="5"/>
      <c r="D290" s="15"/>
      <c r="E290" s="16"/>
      <c r="F290" s="3"/>
      <c r="G290" s="8"/>
      <c r="H290" s="8"/>
      <c r="I290" s="8"/>
      <c r="J290" s="9"/>
      <c r="K290" s="9"/>
      <c r="L290" s="9"/>
      <c r="M290" s="9"/>
      <c r="T290"/>
      <c r="XEQ290"/>
      <c r="XER290"/>
      <c r="XES290"/>
      <c r="XET290"/>
      <c r="XEU290"/>
      <c r="XEV290"/>
      <c r="XEW290"/>
      <c r="XEX290"/>
      <c r="XEY290"/>
      <c r="XEZ290"/>
      <c r="XFA290"/>
      <c r="XFB290"/>
      <c r="XFC290"/>
      <c r="XFD290"/>
    </row>
    <row r="291" spans="1:20 16371:16384" s="2" customFormat="1">
      <c r="A291" s="3"/>
      <c r="B291" s="4"/>
      <c r="C291" s="5"/>
      <c r="D291" s="15"/>
      <c r="E291" s="16"/>
      <c r="F291" s="3"/>
      <c r="G291" s="8"/>
      <c r="H291" s="8"/>
      <c r="I291" s="8"/>
      <c r="J291" s="9"/>
      <c r="K291" s="9"/>
      <c r="L291" s="9"/>
      <c r="M291" s="9"/>
      <c r="T291"/>
      <c r="XEQ291"/>
      <c r="XER291"/>
      <c r="XES291"/>
      <c r="XET291"/>
      <c r="XEU291"/>
      <c r="XEV291"/>
      <c r="XEW291"/>
      <c r="XEX291"/>
      <c r="XEY291"/>
      <c r="XEZ291"/>
      <c r="XFA291"/>
      <c r="XFB291"/>
      <c r="XFC291"/>
      <c r="XFD291"/>
    </row>
    <row r="292" spans="1:20 16371:16384" s="2" customFormat="1">
      <c r="A292" s="3"/>
      <c r="B292" s="4"/>
      <c r="C292" s="5"/>
      <c r="D292" s="15"/>
      <c r="E292" s="16"/>
      <c r="F292" s="3"/>
      <c r="G292" s="8"/>
      <c r="H292" s="8"/>
      <c r="I292" s="8"/>
      <c r="J292" s="9"/>
      <c r="K292" s="9"/>
      <c r="L292" s="9"/>
      <c r="M292" s="9"/>
      <c r="T292"/>
      <c r="XEQ292"/>
      <c r="XER292"/>
      <c r="XES292"/>
      <c r="XET292"/>
      <c r="XEU292"/>
      <c r="XEV292"/>
      <c r="XEW292"/>
      <c r="XEX292"/>
      <c r="XEY292"/>
      <c r="XEZ292"/>
      <c r="XFA292"/>
      <c r="XFB292"/>
      <c r="XFC292"/>
      <c r="XFD292"/>
    </row>
    <row r="293" spans="1:20 16371:16384" s="2" customFormat="1">
      <c r="A293" s="3"/>
      <c r="B293" s="4"/>
      <c r="C293" s="5"/>
      <c r="D293" s="15"/>
      <c r="E293" s="16"/>
      <c r="F293" s="3"/>
      <c r="G293" s="8"/>
      <c r="H293" s="8"/>
      <c r="I293" s="8"/>
      <c r="J293" s="9"/>
      <c r="K293" s="9"/>
      <c r="L293" s="9"/>
      <c r="M293" s="9"/>
      <c r="T293"/>
      <c r="XEQ293"/>
      <c r="XER293"/>
      <c r="XES293"/>
      <c r="XET293"/>
      <c r="XEU293"/>
      <c r="XEV293"/>
      <c r="XEW293"/>
      <c r="XEX293"/>
      <c r="XEY293"/>
      <c r="XEZ293"/>
      <c r="XFA293"/>
      <c r="XFB293"/>
      <c r="XFC293"/>
      <c r="XFD293"/>
    </row>
    <row r="294" spans="1:20 16371:16384" s="2" customFormat="1">
      <c r="A294" s="3"/>
      <c r="B294" s="4"/>
      <c r="C294" s="5"/>
      <c r="D294" s="15"/>
      <c r="E294" s="16"/>
      <c r="F294" s="3"/>
      <c r="G294" s="8"/>
      <c r="H294" s="8"/>
      <c r="I294" s="8"/>
      <c r="J294" s="9"/>
      <c r="K294" s="9"/>
      <c r="L294" s="9"/>
      <c r="M294" s="9"/>
      <c r="T294"/>
      <c r="XEQ294"/>
      <c r="XER294"/>
      <c r="XES294"/>
      <c r="XET294"/>
      <c r="XEU294"/>
      <c r="XEV294"/>
      <c r="XEW294"/>
      <c r="XEX294"/>
      <c r="XEY294"/>
      <c r="XEZ294"/>
      <c r="XFA294"/>
      <c r="XFB294"/>
      <c r="XFC294"/>
      <c r="XFD294"/>
    </row>
    <row r="295" spans="1:20 16371:16384" s="2" customFormat="1">
      <c r="A295" s="3"/>
      <c r="B295" s="4"/>
      <c r="C295" s="5"/>
      <c r="D295" s="15"/>
      <c r="E295" s="16"/>
      <c r="F295" s="3"/>
      <c r="G295" s="8"/>
      <c r="H295" s="8"/>
      <c r="I295" s="8"/>
      <c r="J295" s="9"/>
      <c r="K295" s="9"/>
      <c r="L295" s="9"/>
      <c r="M295" s="9"/>
      <c r="T295"/>
      <c r="XEQ295"/>
      <c r="XER295"/>
      <c r="XES295"/>
      <c r="XET295"/>
      <c r="XEU295"/>
      <c r="XEV295"/>
      <c r="XEW295"/>
      <c r="XEX295"/>
      <c r="XEY295"/>
      <c r="XEZ295"/>
      <c r="XFA295"/>
      <c r="XFB295"/>
      <c r="XFC295"/>
      <c r="XFD295"/>
    </row>
    <row r="296" spans="1:20 16371:16384" s="2" customFormat="1">
      <c r="A296" s="3"/>
      <c r="B296" s="4"/>
      <c r="C296" s="5"/>
      <c r="D296" s="15"/>
      <c r="E296" s="16"/>
      <c r="F296" s="3"/>
      <c r="G296" s="8"/>
      <c r="H296" s="8"/>
      <c r="I296" s="8"/>
      <c r="J296" s="9"/>
      <c r="K296" s="9"/>
      <c r="L296" s="9"/>
      <c r="M296" s="9"/>
      <c r="T296"/>
      <c r="XEQ296"/>
      <c r="XER296"/>
      <c r="XES296"/>
      <c r="XET296"/>
      <c r="XEU296"/>
      <c r="XEV296"/>
      <c r="XEW296"/>
      <c r="XEX296"/>
      <c r="XEY296"/>
      <c r="XEZ296"/>
      <c r="XFA296"/>
      <c r="XFB296"/>
      <c r="XFC296"/>
      <c r="XFD296"/>
    </row>
    <row r="297" spans="1:20 16371:16384" s="2" customFormat="1">
      <c r="A297" s="3"/>
      <c r="B297" s="4"/>
      <c r="C297" s="5"/>
      <c r="D297" s="15"/>
      <c r="E297" s="16"/>
      <c r="F297" s="3"/>
      <c r="G297" s="8"/>
      <c r="H297" s="8"/>
      <c r="I297" s="8"/>
      <c r="J297" s="9"/>
      <c r="K297" s="9"/>
      <c r="L297" s="9"/>
      <c r="M297" s="9"/>
      <c r="T297"/>
      <c r="XEQ297"/>
      <c r="XER297"/>
      <c r="XES297"/>
      <c r="XET297"/>
      <c r="XEU297"/>
      <c r="XEV297"/>
      <c r="XEW297"/>
      <c r="XEX297"/>
      <c r="XEY297"/>
      <c r="XEZ297"/>
      <c r="XFA297"/>
      <c r="XFB297"/>
      <c r="XFC297"/>
      <c r="XFD297"/>
    </row>
    <row r="298" spans="1:20 16371:16384" s="2" customFormat="1">
      <c r="A298" s="3"/>
      <c r="B298" s="4"/>
      <c r="C298" s="5"/>
      <c r="D298" s="15"/>
      <c r="E298" s="16"/>
      <c r="F298" s="3"/>
      <c r="G298" s="8"/>
      <c r="H298" s="8"/>
      <c r="I298" s="8"/>
      <c r="J298" s="9"/>
      <c r="K298" s="9"/>
      <c r="L298" s="9"/>
      <c r="M298" s="9"/>
      <c r="T298"/>
      <c r="XEQ298"/>
      <c r="XER298"/>
      <c r="XES298"/>
      <c r="XET298"/>
      <c r="XEU298"/>
      <c r="XEV298"/>
      <c r="XEW298"/>
      <c r="XEX298"/>
      <c r="XEY298"/>
      <c r="XEZ298"/>
      <c r="XFA298"/>
      <c r="XFB298"/>
      <c r="XFC298"/>
      <c r="XFD298"/>
    </row>
    <row r="299" spans="1:20 16371:16384" s="2" customFormat="1">
      <c r="A299" s="3"/>
      <c r="B299" s="4"/>
      <c r="C299" s="5"/>
      <c r="D299" s="15"/>
      <c r="E299" s="16"/>
      <c r="F299" s="3"/>
      <c r="G299" s="8"/>
      <c r="H299" s="8"/>
      <c r="I299" s="8"/>
      <c r="J299" s="9"/>
      <c r="K299" s="9"/>
      <c r="L299" s="9"/>
      <c r="M299" s="9"/>
      <c r="T299"/>
      <c r="XEQ299"/>
      <c r="XER299"/>
      <c r="XES299"/>
      <c r="XET299"/>
      <c r="XEU299"/>
      <c r="XEV299"/>
      <c r="XEW299"/>
      <c r="XEX299"/>
      <c r="XEY299"/>
      <c r="XEZ299"/>
      <c r="XFA299"/>
      <c r="XFB299"/>
      <c r="XFC299"/>
      <c r="XFD299"/>
    </row>
    <row r="300" spans="1:20 16371:16384" s="2" customFormat="1">
      <c r="A300" s="3"/>
      <c r="B300" s="4"/>
      <c r="C300" s="5"/>
      <c r="D300" s="15"/>
      <c r="E300" s="16"/>
      <c r="F300" s="3"/>
      <c r="G300" s="8"/>
      <c r="H300" s="8"/>
      <c r="I300" s="8"/>
      <c r="J300" s="9"/>
      <c r="K300" s="9"/>
      <c r="L300" s="9"/>
      <c r="M300" s="9"/>
      <c r="T300"/>
      <c r="XEQ300"/>
      <c r="XER300"/>
      <c r="XES300"/>
      <c r="XET300"/>
      <c r="XEU300"/>
      <c r="XEV300"/>
      <c r="XEW300"/>
      <c r="XEX300"/>
      <c r="XEY300"/>
      <c r="XEZ300"/>
      <c r="XFA300"/>
      <c r="XFB300"/>
      <c r="XFC300"/>
      <c r="XFD300"/>
    </row>
    <row r="301" spans="1:20 16371:16384" s="2" customFormat="1">
      <c r="A301" s="3"/>
      <c r="B301" s="4"/>
      <c r="C301" s="5"/>
      <c r="D301" s="15"/>
      <c r="E301" s="16"/>
      <c r="F301" s="3"/>
      <c r="G301" s="8"/>
      <c r="H301" s="8"/>
      <c r="I301" s="8"/>
      <c r="J301" s="9"/>
      <c r="K301" s="9"/>
      <c r="L301" s="9"/>
      <c r="M301" s="9"/>
      <c r="T301"/>
      <c r="XEQ301"/>
      <c r="XER301"/>
      <c r="XES301"/>
      <c r="XET301"/>
      <c r="XEU301"/>
      <c r="XEV301"/>
      <c r="XEW301"/>
      <c r="XEX301"/>
      <c r="XEY301"/>
      <c r="XEZ301"/>
      <c r="XFA301"/>
      <c r="XFB301"/>
      <c r="XFC301"/>
      <c r="XFD301"/>
    </row>
    <row r="302" spans="1:20 16371:16384" s="2" customFormat="1">
      <c r="A302" s="3"/>
      <c r="B302" s="4"/>
      <c r="C302" s="5"/>
      <c r="D302" s="15"/>
      <c r="E302" s="16"/>
      <c r="F302" s="3"/>
      <c r="G302" s="8"/>
      <c r="H302" s="8"/>
      <c r="I302" s="8"/>
      <c r="J302" s="9"/>
      <c r="K302" s="9"/>
      <c r="L302" s="9"/>
      <c r="M302" s="9"/>
      <c r="T302"/>
      <c r="XEQ302"/>
      <c r="XER302"/>
      <c r="XES302"/>
      <c r="XET302"/>
      <c r="XEU302"/>
      <c r="XEV302"/>
      <c r="XEW302"/>
      <c r="XEX302"/>
      <c r="XEY302"/>
      <c r="XEZ302"/>
      <c r="XFA302"/>
      <c r="XFB302"/>
      <c r="XFC302"/>
      <c r="XFD302"/>
    </row>
    <row r="303" spans="1:20 16371:16384" s="2" customFormat="1">
      <c r="A303" s="3"/>
      <c r="B303" s="4"/>
      <c r="C303" s="5"/>
      <c r="D303" s="15"/>
      <c r="E303" s="16"/>
      <c r="F303" s="3"/>
      <c r="G303" s="8"/>
      <c r="H303" s="8"/>
      <c r="I303" s="8"/>
      <c r="J303" s="9"/>
      <c r="K303" s="9"/>
      <c r="L303" s="9"/>
      <c r="M303" s="9"/>
      <c r="T303"/>
      <c r="XEQ303"/>
      <c r="XER303"/>
      <c r="XES303"/>
      <c r="XET303"/>
      <c r="XEU303"/>
      <c r="XEV303"/>
      <c r="XEW303"/>
      <c r="XEX303"/>
      <c r="XEY303"/>
      <c r="XEZ303"/>
      <c r="XFA303"/>
      <c r="XFB303"/>
      <c r="XFC303"/>
      <c r="XFD303"/>
    </row>
    <row r="304" spans="1:20 16371:16384" s="2" customFormat="1">
      <c r="A304" s="3"/>
      <c r="B304" s="4"/>
      <c r="C304" s="5"/>
      <c r="D304" s="15"/>
      <c r="E304" s="16"/>
      <c r="F304" s="3"/>
      <c r="G304" s="8"/>
      <c r="H304" s="8"/>
      <c r="I304" s="8"/>
      <c r="J304" s="9"/>
      <c r="K304" s="9"/>
      <c r="L304" s="9"/>
      <c r="M304" s="9"/>
      <c r="T304"/>
      <c r="XEQ304"/>
      <c r="XER304"/>
      <c r="XES304"/>
      <c r="XET304"/>
      <c r="XEU304"/>
      <c r="XEV304"/>
      <c r="XEW304"/>
      <c r="XEX304"/>
      <c r="XEY304"/>
      <c r="XEZ304"/>
      <c r="XFA304"/>
      <c r="XFB304"/>
      <c r="XFC304"/>
      <c r="XFD304"/>
    </row>
    <row r="305" spans="1:20 16371:16384" s="2" customFormat="1">
      <c r="A305" s="3"/>
      <c r="B305" s="4"/>
      <c r="C305" s="5"/>
      <c r="D305" s="15"/>
      <c r="E305" s="16"/>
      <c r="F305" s="3"/>
      <c r="G305" s="8"/>
      <c r="H305" s="8"/>
      <c r="I305" s="8"/>
      <c r="J305" s="9"/>
      <c r="K305" s="9"/>
      <c r="L305" s="9"/>
      <c r="M305" s="9"/>
      <c r="T305"/>
      <c r="XEQ305"/>
      <c r="XER305"/>
      <c r="XES305"/>
      <c r="XET305"/>
      <c r="XEU305"/>
      <c r="XEV305"/>
      <c r="XEW305"/>
      <c r="XEX305"/>
      <c r="XEY305"/>
      <c r="XEZ305"/>
      <c r="XFA305"/>
      <c r="XFB305"/>
      <c r="XFC305"/>
      <c r="XFD305"/>
    </row>
    <row r="306" spans="1:20 16371:16384" s="2" customFormat="1">
      <c r="A306" s="3"/>
      <c r="B306" s="4"/>
      <c r="C306" s="5"/>
      <c r="D306" s="15"/>
      <c r="E306" s="16"/>
      <c r="F306" s="3"/>
      <c r="G306" s="8"/>
      <c r="H306" s="8"/>
      <c r="I306" s="8"/>
      <c r="J306" s="9"/>
      <c r="K306" s="9"/>
      <c r="L306" s="9"/>
      <c r="M306" s="9"/>
      <c r="T306"/>
      <c r="XEQ306"/>
      <c r="XER306"/>
      <c r="XES306"/>
      <c r="XET306"/>
      <c r="XEU306"/>
      <c r="XEV306"/>
      <c r="XEW306"/>
      <c r="XEX306"/>
      <c r="XEY306"/>
      <c r="XEZ306"/>
      <c r="XFA306"/>
      <c r="XFB306"/>
      <c r="XFC306"/>
      <c r="XFD306"/>
    </row>
    <row r="307" spans="1:20 16371:16384" s="2" customFormat="1">
      <c r="A307" s="3"/>
      <c r="B307" s="4"/>
      <c r="C307" s="5"/>
      <c r="D307" s="15"/>
      <c r="E307" s="16"/>
      <c r="F307" s="3"/>
      <c r="G307" s="8"/>
      <c r="H307" s="8"/>
      <c r="I307" s="8"/>
      <c r="J307" s="9"/>
      <c r="K307" s="9"/>
      <c r="L307" s="9"/>
      <c r="M307" s="9"/>
      <c r="T307"/>
      <c r="XEQ307"/>
      <c r="XER307"/>
      <c r="XES307"/>
      <c r="XET307"/>
      <c r="XEU307"/>
      <c r="XEV307"/>
      <c r="XEW307"/>
      <c r="XEX307"/>
      <c r="XEY307"/>
      <c r="XEZ307"/>
      <c r="XFA307"/>
      <c r="XFB307"/>
      <c r="XFC307"/>
      <c r="XFD307"/>
    </row>
    <row r="308" spans="1:20 16371:16384" s="2" customFormat="1">
      <c r="A308" s="3"/>
      <c r="B308" s="4"/>
      <c r="C308" s="5"/>
      <c r="D308" s="15"/>
      <c r="E308" s="16"/>
      <c r="F308" s="3"/>
      <c r="G308" s="8"/>
      <c r="H308" s="8"/>
      <c r="I308" s="8"/>
      <c r="J308" s="9"/>
      <c r="K308" s="9"/>
      <c r="L308" s="9"/>
      <c r="M308" s="9"/>
      <c r="T308"/>
      <c r="XEQ308"/>
      <c r="XER308"/>
      <c r="XES308"/>
      <c r="XET308"/>
      <c r="XEU308"/>
      <c r="XEV308"/>
      <c r="XEW308"/>
      <c r="XEX308"/>
      <c r="XEY308"/>
      <c r="XEZ308"/>
      <c r="XFA308"/>
      <c r="XFB308"/>
      <c r="XFC308"/>
      <c r="XFD308"/>
    </row>
    <row r="309" spans="1:20 16371:16384" s="2" customFormat="1">
      <c r="A309" s="3"/>
      <c r="B309" s="4"/>
      <c r="C309" s="5"/>
      <c r="D309" s="15"/>
      <c r="E309" s="16"/>
      <c r="F309" s="3"/>
      <c r="G309" s="8"/>
      <c r="H309" s="8"/>
      <c r="I309" s="8"/>
      <c r="J309" s="9"/>
      <c r="K309" s="9"/>
      <c r="L309" s="9"/>
      <c r="M309" s="9"/>
      <c r="T309"/>
      <c r="XEQ309"/>
      <c r="XER309"/>
      <c r="XES309"/>
      <c r="XET309"/>
      <c r="XEU309"/>
      <c r="XEV309"/>
      <c r="XEW309"/>
      <c r="XEX309"/>
      <c r="XEY309"/>
      <c r="XEZ309"/>
      <c r="XFA309"/>
      <c r="XFB309"/>
      <c r="XFC309"/>
      <c r="XFD309"/>
    </row>
    <row r="310" spans="1:20 16371:16384" s="2" customFormat="1">
      <c r="A310" s="3"/>
      <c r="B310" s="4"/>
      <c r="C310" s="5"/>
      <c r="D310" s="15"/>
      <c r="E310" s="16"/>
      <c r="F310" s="3"/>
      <c r="G310" s="8"/>
      <c r="H310" s="8"/>
      <c r="I310" s="8"/>
      <c r="J310" s="9"/>
      <c r="K310" s="9"/>
      <c r="L310" s="9"/>
      <c r="M310" s="9"/>
      <c r="T310"/>
      <c r="XEQ310"/>
      <c r="XER310"/>
      <c r="XES310"/>
      <c r="XET310"/>
      <c r="XEU310"/>
      <c r="XEV310"/>
      <c r="XEW310"/>
      <c r="XEX310"/>
      <c r="XEY310"/>
      <c r="XEZ310"/>
      <c r="XFA310"/>
      <c r="XFB310"/>
      <c r="XFC310"/>
      <c r="XFD310"/>
    </row>
    <row r="311" spans="1:20 16371:16384" s="2" customFormat="1">
      <c r="A311" s="3"/>
      <c r="B311" s="4"/>
      <c r="C311" s="5"/>
      <c r="D311" s="15"/>
      <c r="E311" s="16"/>
      <c r="F311" s="3"/>
      <c r="G311" s="8"/>
      <c r="H311" s="8"/>
      <c r="I311" s="8"/>
      <c r="J311" s="9"/>
      <c r="K311" s="9"/>
      <c r="L311" s="9"/>
      <c r="M311" s="9"/>
      <c r="T311"/>
      <c r="XEQ311"/>
      <c r="XER311"/>
      <c r="XES311"/>
      <c r="XET311"/>
      <c r="XEU311"/>
      <c r="XEV311"/>
      <c r="XEW311"/>
      <c r="XEX311"/>
      <c r="XEY311"/>
      <c r="XEZ311"/>
      <c r="XFA311"/>
      <c r="XFB311"/>
      <c r="XFC311"/>
      <c r="XFD311"/>
    </row>
    <row r="312" spans="1:20 16371:16384" s="2" customFormat="1">
      <c r="A312" s="3"/>
      <c r="B312" s="4"/>
      <c r="C312" s="5"/>
      <c r="D312" s="15"/>
      <c r="E312" s="16"/>
      <c r="F312" s="3"/>
      <c r="G312" s="8"/>
      <c r="H312" s="8"/>
      <c r="I312" s="8"/>
      <c r="J312" s="9"/>
      <c r="K312" s="9"/>
      <c r="L312" s="9"/>
      <c r="M312" s="9"/>
      <c r="T312"/>
      <c r="XEQ312"/>
      <c r="XER312"/>
      <c r="XES312"/>
      <c r="XET312"/>
      <c r="XEU312"/>
      <c r="XEV312"/>
      <c r="XEW312"/>
      <c r="XEX312"/>
      <c r="XEY312"/>
      <c r="XEZ312"/>
      <c r="XFA312"/>
      <c r="XFB312"/>
      <c r="XFC312"/>
      <c r="XFD312"/>
    </row>
    <row r="313" spans="1:20 16371:16384" s="2" customFormat="1">
      <c r="A313" s="3"/>
      <c r="B313" s="4"/>
      <c r="C313" s="5"/>
      <c r="D313" s="15"/>
      <c r="E313" s="16"/>
      <c r="F313" s="3"/>
      <c r="G313" s="8"/>
      <c r="H313" s="8"/>
      <c r="I313" s="8"/>
      <c r="J313" s="9"/>
      <c r="K313" s="9"/>
      <c r="L313" s="9"/>
      <c r="M313" s="9"/>
      <c r="T313"/>
      <c r="XEQ313"/>
      <c r="XER313"/>
      <c r="XES313"/>
      <c r="XET313"/>
      <c r="XEU313"/>
      <c r="XEV313"/>
      <c r="XEW313"/>
      <c r="XEX313"/>
      <c r="XEY313"/>
      <c r="XEZ313"/>
      <c r="XFA313"/>
      <c r="XFB313"/>
      <c r="XFC313"/>
      <c r="XFD313"/>
    </row>
    <row r="314" spans="1:20 16371:16384" s="2" customFormat="1">
      <c r="A314" s="3"/>
      <c r="B314" s="4"/>
      <c r="C314" s="5"/>
      <c r="D314" s="15"/>
      <c r="E314" s="16"/>
      <c r="F314" s="3"/>
      <c r="G314" s="8"/>
      <c r="H314" s="8"/>
      <c r="I314" s="8"/>
      <c r="J314" s="9"/>
      <c r="K314" s="9"/>
      <c r="L314" s="9"/>
      <c r="M314" s="9"/>
      <c r="T314"/>
      <c r="XEQ314"/>
      <c r="XER314"/>
      <c r="XES314"/>
      <c r="XET314"/>
      <c r="XEU314"/>
      <c r="XEV314"/>
      <c r="XEW314"/>
      <c r="XEX314"/>
      <c r="XEY314"/>
      <c r="XEZ314"/>
      <c r="XFA314"/>
      <c r="XFB314"/>
      <c r="XFC314"/>
      <c r="XFD314"/>
    </row>
    <row r="315" spans="1:20 16371:16384" s="2" customFormat="1">
      <c r="A315" s="3"/>
      <c r="B315" s="4"/>
      <c r="C315" s="5"/>
      <c r="D315" s="15"/>
      <c r="E315" s="16"/>
      <c r="F315" s="3"/>
      <c r="G315" s="8"/>
      <c r="H315" s="8"/>
      <c r="I315" s="8"/>
      <c r="J315" s="9"/>
      <c r="K315" s="9"/>
      <c r="L315" s="9"/>
      <c r="M315" s="9"/>
      <c r="T315"/>
      <c r="XEQ315"/>
      <c r="XER315"/>
      <c r="XES315"/>
      <c r="XET315"/>
      <c r="XEU315"/>
      <c r="XEV315"/>
      <c r="XEW315"/>
      <c r="XEX315"/>
      <c r="XEY315"/>
      <c r="XEZ315"/>
      <c r="XFA315"/>
      <c r="XFB315"/>
      <c r="XFC315"/>
      <c r="XFD315"/>
    </row>
    <row r="316" spans="1:20 16371:16384" s="2" customFormat="1">
      <c r="A316" s="3"/>
      <c r="B316" s="4"/>
      <c r="C316" s="5"/>
      <c r="D316" s="15"/>
      <c r="E316" s="16"/>
      <c r="F316" s="3"/>
      <c r="G316" s="8"/>
      <c r="H316" s="8"/>
      <c r="I316" s="8"/>
      <c r="J316" s="9"/>
      <c r="K316" s="9"/>
      <c r="L316" s="9"/>
      <c r="M316" s="9"/>
      <c r="T316"/>
      <c r="XEQ316"/>
      <c r="XER316"/>
      <c r="XES316"/>
      <c r="XET316"/>
      <c r="XEU316"/>
      <c r="XEV316"/>
      <c r="XEW316"/>
      <c r="XEX316"/>
      <c r="XEY316"/>
      <c r="XEZ316"/>
      <c r="XFA316"/>
      <c r="XFB316"/>
      <c r="XFC316"/>
      <c r="XFD316"/>
    </row>
    <row r="317" spans="1:20 16371:16384" s="2" customFormat="1">
      <c r="A317" s="3"/>
      <c r="B317" s="4"/>
      <c r="C317" s="5"/>
      <c r="D317" s="15"/>
      <c r="E317" s="16"/>
      <c r="F317" s="3"/>
      <c r="G317" s="8"/>
      <c r="H317" s="8"/>
      <c r="I317" s="8"/>
      <c r="J317" s="9"/>
      <c r="K317" s="9"/>
      <c r="L317" s="9"/>
      <c r="M317" s="9"/>
      <c r="T317"/>
      <c r="XEQ317"/>
      <c r="XER317"/>
      <c r="XES317"/>
      <c r="XET317"/>
      <c r="XEU317"/>
      <c r="XEV317"/>
      <c r="XEW317"/>
      <c r="XEX317"/>
      <c r="XEY317"/>
      <c r="XEZ317"/>
      <c r="XFA317"/>
      <c r="XFB317"/>
      <c r="XFC317"/>
      <c r="XFD317"/>
    </row>
    <row r="318" spans="1:20 16371:16384" s="2" customFormat="1">
      <c r="A318" s="3"/>
      <c r="B318" s="4"/>
      <c r="C318" s="5"/>
      <c r="D318" s="15"/>
      <c r="E318" s="16"/>
      <c r="F318" s="3"/>
      <c r="G318" s="8"/>
      <c r="H318" s="8"/>
      <c r="I318" s="8"/>
      <c r="J318" s="9"/>
      <c r="K318" s="9"/>
      <c r="L318" s="9"/>
      <c r="M318" s="9"/>
      <c r="T318"/>
      <c r="XEQ318"/>
      <c r="XER318"/>
      <c r="XES318"/>
      <c r="XET318"/>
      <c r="XEU318"/>
      <c r="XEV318"/>
      <c r="XEW318"/>
      <c r="XEX318"/>
      <c r="XEY318"/>
      <c r="XEZ318"/>
      <c r="XFA318"/>
      <c r="XFB318"/>
      <c r="XFC318"/>
      <c r="XFD318"/>
    </row>
    <row r="319" spans="1:20 16371:16384" s="2" customFormat="1">
      <c r="A319" s="3"/>
      <c r="B319" s="4"/>
      <c r="C319" s="5"/>
      <c r="D319" s="15"/>
      <c r="E319" s="16"/>
      <c r="F319" s="3"/>
      <c r="G319" s="8"/>
      <c r="H319" s="8"/>
      <c r="I319" s="8"/>
      <c r="J319" s="9"/>
      <c r="K319" s="9"/>
      <c r="L319" s="9"/>
      <c r="M319" s="9"/>
      <c r="T319"/>
      <c r="XEQ319"/>
      <c r="XER319"/>
      <c r="XES319"/>
      <c r="XET319"/>
      <c r="XEU319"/>
      <c r="XEV319"/>
      <c r="XEW319"/>
      <c r="XEX319"/>
      <c r="XEY319"/>
      <c r="XEZ319"/>
      <c r="XFA319"/>
      <c r="XFB319"/>
      <c r="XFC319"/>
      <c r="XFD319"/>
    </row>
    <row r="320" spans="1:20 16371:16384" s="2" customFormat="1">
      <c r="A320" s="3"/>
      <c r="B320" s="4"/>
      <c r="C320" s="5"/>
      <c r="D320" s="15"/>
      <c r="E320" s="16"/>
      <c r="F320" s="3"/>
      <c r="G320" s="8"/>
      <c r="H320" s="8"/>
      <c r="I320" s="8"/>
      <c r="J320" s="9"/>
      <c r="K320" s="9"/>
      <c r="L320" s="9"/>
      <c r="M320" s="9"/>
      <c r="T320"/>
      <c r="XEQ320"/>
      <c r="XER320"/>
      <c r="XES320"/>
      <c r="XET320"/>
      <c r="XEU320"/>
      <c r="XEV320"/>
      <c r="XEW320"/>
      <c r="XEX320"/>
      <c r="XEY320"/>
      <c r="XEZ320"/>
      <c r="XFA320"/>
      <c r="XFB320"/>
      <c r="XFC320"/>
      <c r="XFD320"/>
    </row>
    <row r="321" spans="1:20 16371:16384" s="2" customFormat="1">
      <c r="A321" s="3"/>
      <c r="B321" s="4"/>
      <c r="C321" s="5"/>
      <c r="D321" s="15"/>
      <c r="E321" s="16"/>
      <c r="F321" s="3"/>
      <c r="G321" s="8"/>
      <c r="H321" s="8"/>
      <c r="I321" s="8"/>
      <c r="J321" s="9"/>
      <c r="K321" s="9"/>
      <c r="L321" s="9"/>
      <c r="M321" s="9"/>
      <c r="T321"/>
      <c r="XEQ321"/>
      <c r="XER321"/>
      <c r="XES321"/>
      <c r="XET321"/>
      <c r="XEU321"/>
      <c r="XEV321"/>
      <c r="XEW321"/>
      <c r="XEX321"/>
      <c r="XEY321"/>
      <c r="XEZ321"/>
      <c r="XFA321"/>
      <c r="XFB321"/>
      <c r="XFC321"/>
      <c r="XFD321"/>
    </row>
    <row r="322" spans="1:20 16371:16384" s="2" customFormat="1">
      <c r="A322" s="3"/>
      <c r="B322" s="4"/>
      <c r="C322" s="5"/>
      <c r="D322" s="15"/>
      <c r="E322" s="16"/>
      <c r="F322" s="3"/>
      <c r="G322" s="8"/>
      <c r="H322" s="8"/>
      <c r="I322" s="8"/>
      <c r="J322" s="9"/>
      <c r="K322" s="9"/>
      <c r="L322" s="9"/>
      <c r="M322" s="9"/>
      <c r="T322"/>
      <c r="XEQ322"/>
      <c r="XER322"/>
      <c r="XES322"/>
      <c r="XET322"/>
      <c r="XEU322"/>
      <c r="XEV322"/>
      <c r="XEW322"/>
      <c r="XEX322"/>
      <c r="XEY322"/>
      <c r="XEZ322"/>
      <c r="XFA322"/>
      <c r="XFB322"/>
      <c r="XFC322"/>
      <c r="XFD322"/>
    </row>
    <row r="323" spans="1:20 16371:16384" s="2" customFormat="1">
      <c r="A323" s="3"/>
      <c r="B323" s="4"/>
      <c r="C323" s="5"/>
      <c r="D323" s="15"/>
      <c r="E323" s="16"/>
      <c r="F323" s="3"/>
      <c r="G323" s="8"/>
      <c r="H323" s="8"/>
      <c r="I323" s="8"/>
      <c r="J323" s="9"/>
      <c r="K323" s="9"/>
      <c r="L323" s="9"/>
      <c r="M323" s="9"/>
      <c r="T323"/>
      <c r="XEQ323"/>
      <c r="XER323"/>
      <c r="XES323"/>
      <c r="XET323"/>
      <c r="XEU323"/>
      <c r="XEV323"/>
      <c r="XEW323"/>
      <c r="XEX323"/>
      <c r="XEY323"/>
      <c r="XEZ323"/>
      <c r="XFA323"/>
      <c r="XFB323"/>
      <c r="XFC323"/>
      <c r="XFD323"/>
    </row>
    <row r="324" spans="1:20 16371:16384" s="2" customFormat="1">
      <c r="A324" s="3"/>
      <c r="B324" s="4"/>
      <c r="C324" s="5"/>
      <c r="D324" s="15"/>
      <c r="E324" s="16"/>
      <c r="F324" s="3"/>
      <c r="G324" s="8"/>
      <c r="H324" s="8"/>
      <c r="I324" s="8"/>
      <c r="J324" s="9"/>
      <c r="K324" s="9"/>
      <c r="L324" s="9"/>
      <c r="M324" s="9"/>
      <c r="T324"/>
      <c r="XEQ324"/>
      <c r="XER324"/>
      <c r="XES324"/>
      <c r="XET324"/>
      <c r="XEU324"/>
      <c r="XEV324"/>
      <c r="XEW324"/>
      <c r="XEX324"/>
      <c r="XEY324"/>
      <c r="XEZ324"/>
      <c r="XFA324"/>
      <c r="XFB324"/>
      <c r="XFC324"/>
      <c r="XFD324"/>
    </row>
    <row r="325" spans="1:20 16371:16384" s="2" customFormat="1">
      <c r="A325" s="3"/>
      <c r="B325" s="4"/>
      <c r="C325" s="5"/>
      <c r="D325" s="15"/>
      <c r="E325" s="16"/>
      <c r="F325" s="3"/>
      <c r="G325" s="8"/>
      <c r="H325" s="8"/>
      <c r="I325" s="8"/>
      <c r="J325" s="9"/>
      <c r="K325" s="9"/>
      <c r="L325" s="9"/>
      <c r="M325" s="9"/>
      <c r="T325"/>
      <c r="XEQ325"/>
      <c r="XER325"/>
      <c r="XES325"/>
      <c r="XET325"/>
      <c r="XEU325"/>
      <c r="XEV325"/>
      <c r="XEW325"/>
      <c r="XEX325"/>
      <c r="XEY325"/>
      <c r="XEZ325"/>
      <c r="XFA325"/>
      <c r="XFB325"/>
      <c r="XFC325"/>
      <c r="XFD325"/>
    </row>
    <row r="326" spans="1:20 16371:16384" s="2" customFormat="1">
      <c r="A326" s="3"/>
      <c r="B326" s="4"/>
      <c r="C326" s="5"/>
      <c r="D326" s="15"/>
      <c r="E326" s="16"/>
      <c r="F326" s="3"/>
      <c r="G326" s="8"/>
      <c r="H326" s="8"/>
      <c r="I326" s="8"/>
      <c r="J326" s="9"/>
      <c r="K326" s="9"/>
      <c r="L326" s="9"/>
      <c r="M326" s="9"/>
      <c r="T326"/>
      <c r="XEQ326"/>
      <c r="XER326"/>
      <c r="XES326"/>
      <c r="XET326"/>
      <c r="XEU326"/>
      <c r="XEV326"/>
      <c r="XEW326"/>
      <c r="XEX326"/>
      <c r="XEY326"/>
      <c r="XEZ326"/>
      <c r="XFA326"/>
      <c r="XFB326"/>
      <c r="XFC326"/>
      <c r="XFD326"/>
    </row>
    <row r="327" spans="1:20 16371:16384" s="2" customFormat="1">
      <c r="A327" s="3"/>
      <c r="B327" s="4"/>
      <c r="C327" s="5"/>
      <c r="D327" s="15"/>
      <c r="E327" s="16"/>
      <c r="F327" s="3"/>
      <c r="G327" s="8"/>
      <c r="H327" s="8"/>
      <c r="I327" s="8"/>
      <c r="J327" s="9"/>
      <c r="K327" s="9"/>
      <c r="L327" s="9"/>
      <c r="M327" s="9"/>
      <c r="T327"/>
      <c r="XEQ327"/>
      <c r="XER327"/>
      <c r="XES327"/>
      <c r="XET327"/>
      <c r="XEU327"/>
      <c r="XEV327"/>
      <c r="XEW327"/>
      <c r="XEX327"/>
      <c r="XEY327"/>
      <c r="XEZ327"/>
      <c r="XFA327"/>
      <c r="XFB327"/>
      <c r="XFC327"/>
      <c r="XFD327"/>
    </row>
    <row r="328" spans="1:20 16371:16384" s="2" customFormat="1">
      <c r="A328" s="3"/>
      <c r="B328" s="4"/>
      <c r="C328" s="5"/>
      <c r="D328" s="15"/>
      <c r="E328" s="16"/>
      <c r="F328" s="3"/>
      <c r="G328" s="8"/>
      <c r="H328" s="8"/>
      <c r="I328" s="8"/>
      <c r="J328" s="9"/>
      <c r="K328" s="9"/>
      <c r="L328" s="9"/>
      <c r="M328" s="9"/>
      <c r="T328"/>
      <c r="XEQ328"/>
      <c r="XER328"/>
      <c r="XES328"/>
      <c r="XET328"/>
      <c r="XEU328"/>
      <c r="XEV328"/>
      <c r="XEW328"/>
      <c r="XEX328"/>
      <c r="XEY328"/>
      <c r="XEZ328"/>
      <c r="XFA328"/>
      <c r="XFB328"/>
      <c r="XFC328"/>
      <c r="XFD328"/>
    </row>
    <row r="329" spans="1:20 16371:16384" s="2" customFormat="1">
      <c r="A329" s="3"/>
      <c r="B329" s="4"/>
      <c r="C329" s="5"/>
      <c r="D329" s="15"/>
      <c r="E329" s="16"/>
      <c r="F329" s="3"/>
      <c r="G329" s="8"/>
      <c r="H329" s="8"/>
      <c r="I329" s="8"/>
      <c r="J329" s="9"/>
      <c r="K329" s="9"/>
      <c r="L329" s="9"/>
      <c r="M329" s="9"/>
      <c r="T329"/>
      <c r="XEQ329"/>
      <c r="XER329"/>
      <c r="XES329"/>
      <c r="XET329"/>
      <c r="XEU329"/>
      <c r="XEV329"/>
      <c r="XEW329"/>
      <c r="XEX329"/>
      <c r="XEY329"/>
      <c r="XEZ329"/>
      <c r="XFA329"/>
      <c r="XFB329"/>
      <c r="XFC329"/>
      <c r="XFD329"/>
    </row>
    <row r="330" spans="1:20 16371:16384" s="2" customFormat="1">
      <c r="A330" s="3"/>
      <c r="B330" s="4"/>
      <c r="C330" s="5"/>
      <c r="D330" s="15"/>
      <c r="E330" s="16"/>
      <c r="F330" s="3"/>
      <c r="G330" s="8"/>
      <c r="H330" s="8"/>
      <c r="I330" s="8"/>
      <c r="J330" s="9"/>
      <c r="K330" s="9"/>
      <c r="L330" s="9"/>
      <c r="M330" s="9"/>
      <c r="T330"/>
      <c r="XEQ330"/>
      <c r="XER330"/>
      <c r="XES330"/>
      <c r="XET330"/>
      <c r="XEU330"/>
      <c r="XEV330"/>
      <c r="XEW330"/>
      <c r="XEX330"/>
      <c r="XEY330"/>
      <c r="XEZ330"/>
      <c r="XFA330"/>
      <c r="XFB330"/>
      <c r="XFC330"/>
      <c r="XFD330"/>
    </row>
    <row r="331" spans="1:20 16371:16384" s="2" customFormat="1">
      <c r="A331" s="3"/>
      <c r="B331" s="4"/>
      <c r="C331" s="5"/>
      <c r="D331" s="15"/>
      <c r="E331" s="16"/>
      <c r="F331" s="3"/>
      <c r="G331" s="8"/>
      <c r="H331" s="8"/>
      <c r="I331" s="8"/>
      <c r="J331" s="9"/>
      <c r="K331" s="9"/>
      <c r="L331" s="9"/>
      <c r="M331" s="9"/>
      <c r="T331"/>
      <c r="XEQ331"/>
      <c r="XER331"/>
      <c r="XES331"/>
      <c r="XET331"/>
      <c r="XEU331"/>
      <c r="XEV331"/>
      <c r="XEW331"/>
      <c r="XEX331"/>
      <c r="XEY331"/>
      <c r="XEZ331"/>
      <c r="XFA331"/>
      <c r="XFB331"/>
      <c r="XFC331"/>
      <c r="XFD331"/>
    </row>
    <row r="332" spans="1:20 16371:16384" s="2" customFormat="1">
      <c r="A332" s="3"/>
      <c r="B332" s="4"/>
      <c r="C332" s="5"/>
      <c r="D332" s="15"/>
      <c r="E332" s="16"/>
      <c r="F332" s="3"/>
      <c r="G332" s="8"/>
      <c r="H332" s="8"/>
      <c r="I332" s="8"/>
      <c r="J332" s="9"/>
      <c r="K332" s="9"/>
      <c r="L332" s="9"/>
      <c r="M332" s="9"/>
      <c r="T332"/>
      <c r="XEQ332"/>
      <c r="XER332"/>
      <c r="XES332"/>
      <c r="XET332"/>
      <c r="XEU332"/>
      <c r="XEV332"/>
      <c r="XEW332"/>
      <c r="XEX332"/>
      <c r="XEY332"/>
      <c r="XEZ332"/>
      <c r="XFA332"/>
      <c r="XFB332"/>
      <c r="XFC332"/>
      <c r="XFD332"/>
    </row>
    <row r="333" spans="1:20 16371:16384" s="2" customFormat="1">
      <c r="A333" s="3"/>
      <c r="B333" s="4"/>
      <c r="C333" s="5"/>
      <c r="D333" s="15"/>
      <c r="E333" s="16"/>
      <c r="F333" s="3"/>
      <c r="G333" s="8"/>
      <c r="H333" s="8"/>
      <c r="I333" s="8"/>
      <c r="J333" s="9"/>
      <c r="K333" s="9"/>
      <c r="L333" s="9"/>
      <c r="M333" s="9"/>
      <c r="T333"/>
      <c r="XEQ333"/>
      <c r="XER333"/>
      <c r="XES333"/>
      <c r="XET333"/>
      <c r="XEU333"/>
      <c r="XEV333"/>
      <c r="XEW333"/>
      <c r="XEX333"/>
      <c r="XEY333"/>
      <c r="XEZ333"/>
      <c r="XFA333"/>
      <c r="XFB333"/>
      <c r="XFC333"/>
      <c r="XFD333"/>
    </row>
    <row r="334" spans="1:20 16371:16384" s="2" customFormat="1">
      <c r="A334" s="3"/>
      <c r="B334" s="4"/>
      <c r="C334" s="5"/>
      <c r="D334" s="15"/>
      <c r="E334" s="16"/>
      <c r="F334" s="3"/>
      <c r="G334" s="8"/>
      <c r="H334" s="8"/>
      <c r="I334" s="8"/>
      <c r="J334" s="9"/>
      <c r="K334" s="9"/>
      <c r="L334" s="9"/>
      <c r="M334" s="9"/>
      <c r="T334"/>
      <c r="XEQ334"/>
      <c r="XER334"/>
      <c r="XES334"/>
      <c r="XET334"/>
      <c r="XEU334"/>
      <c r="XEV334"/>
      <c r="XEW334"/>
      <c r="XEX334"/>
      <c r="XEY334"/>
      <c r="XEZ334"/>
      <c r="XFA334"/>
      <c r="XFB334"/>
      <c r="XFC334"/>
      <c r="XFD334"/>
    </row>
    <row r="335" spans="1:20 16371:16384" s="2" customFormat="1">
      <c r="A335" s="3"/>
      <c r="B335" s="4"/>
      <c r="C335" s="5"/>
      <c r="D335" s="15"/>
      <c r="E335" s="16"/>
      <c r="F335" s="3"/>
      <c r="G335" s="8"/>
      <c r="H335" s="8"/>
      <c r="I335" s="8"/>
      <c r="J335" s="9"/>
      <c r="K335" s="9"/>
      <c r="L335" s="9"/>
      <c r="M335" s="9"/>
      <c r="T335"/>
      <c r="XEQ335"/>
      <c r="XER335"/>
      <c r="XES335"/>
      <c r="XET335"/>
      <c r="XEU335"/>
      <c r="XEV335"/>
      <c r="XEW335"/>
      <c r="XEX335"/>
      <c r="XEY335"/>
      <c r="XEZ335"/>
      <c r="XFA335"/>
      <c r="XFB335"/>
      <c r="XFC335"/>
      <c r="XFD335"/>
    </row>
    <row r="336" spans="1:20 16371:16384" s="2" customFormat="1">
      <c r="A336" s="3"/>
      <c r="B336" s="4"/>
      <c r="C336" s="5"/>
      <c r="D336" s="15"/>
      <c r="E336" s="16"/>
      <c r="F336" s="3"/>
      <c r="G336" s="8"/>
      <c r="H336" s="8"/>
      <c r="I336" s="8"/>
      <c r="J336" s="9"/>
      <c r="K336" s="9"/>
      <c r="L336" s="9"/>
      <c r="M336" s="9"/>
      <c r="T336"/>
      <c r="XEQ336"/>
      <c r="XER336"/>
      <c r="XES336"/>
      <c r="XET336"/>
      <c r="XEU336"/>
      <c r="XEV336"/>
      <c r="XEW336"/>
      <c r="XEX336"/>
      <c r="XEY336"/>
      <c r="XEZ336"/>
      <c r="XFA336"/>
      <c r="XFB336"/>
      <c r="XFC336"/>
      <c r="XFD336"/>
    </row>
    <row r="337" spans="1:20 16371:16384" s="2" customFormat="1">
      <c r="A337" s="3"/>
      <c r="B337" s="4"/>
      <c r="C337" s="5"/>
      <c r="D337" s="15"/>
      <c r="E337" s="16"/>
      <c r="F337" s="3"/>
      <c r="G337" s="8"/>
      <c r="H337" s="8"/>
      <c r="I337" s="8"/>
      <c r="J337" s="9"/>
      <c r="K337" s="9"/>
      <c r="L337" s="9"/>
      <c r="M337" s="9"/>
      <c r="T337"/>
      <c r="XEQ337"/>
      <c r="XER337"/>
      <c r="XES337"/>
      <c r="XET337"/>
      <c r="XEU337"/>
      <c r="XEV337"/>
      <c r="XEW337"/>
      <c r="XEX337"/>
      <c r="XEY337"/>
      <c r="XEZ337"/>
      <c r="XFA337"/>
      <c r="XFB337"/>
      <c r="XFC337"/>
      <c r="XFD337"/>
    </row>
    <row r="338" spans="1:20 16371:16384" s="2" customFormat="1">
      <c r="A338" s="3"/>
      <c r="B338" s="4"/>
      <c r="C338" s="5"/>
      <c r="D338" s="15"/>
      <c r="E338" s="16"/>
      <c r="F338" s="3"/>
      <c r="G338" s="8"/>
      <c r="H338" s="8"/>
      <c r="I338" s="8"/>
      <c r="J338" s="9"/>
      <c r="K338" s="9"/>
      <c r="L338" s="9"/>
      <c r="M338" s="9"/>
      <c r="T338"/>
      <c r="XEQ338"/>
      <c r="XER338"/>
      <c r="XES338"/>
      <c r="XET338"/>
      <c r="XEU338"/>
      <c r="XEV338"/>
      <c r="XEW338"/>
      <c r="XEX338"/>
      <c r="XEY338"/>
      <c r="XEZ338"/>
      <c r="XFA338"/>
      <c r="XFB338"/>
      <c r="XFC338"/>
      <c r="XFD338"/>
    </row>
    <row r="339" spans="1:20 16371:16384" s="2" customFormat="1">
      <c r="A339" s="3"/>
      <c r="B339" s="4"/>
      <c r="C339" s="5"/>
      <c r="D339" s="15"/>
      <c r="E339" s="16"/>
      <c r="F339" s="3"/>
      <c r="G339" s="8"/>
      <c r="H339" s="8"/>
      <c r="I339" s="8"/>
      <c r="J339" s="9"/>
      <c r="K339" s="9"/>
      <c r="L339" s="9"/>
      <c r="M339" s="9"/>
      <c r="T339"/>
      <c r="XEQ339"/>
      <c r="XER339"/>
      <c r="XES339"/>
      <c r="XET339"/>
      <c r="XEU339"/>
      <c r="XEV339"/>
      <c r="XEW339"/>
      <c r="XEX339"/>
      <c r="XEY339"/>
      <c r="XEZ339"/>
      <c r="XFA339"/>
      <c r="XFB339"/>
      <c r="XFC339"/>
      <c r="XFD339"/>
    </row>
    <row r="340" spans="1:20 16371:16384" s="2" customFormat="1">
      <c r="A340" s="3"/>
      <c r="B340" s="4"/>
      <c r="C340" s="5"/>
      <c r="D340" s="15"/>
      <c r="E340" s="16"/>
      <c r="F340" s="3"/>
      <c r="G340" s="8"/>
      <c r="H340" s="8"/>
      <c r="I340" s="8"/>
      <c r="J340" s="9"/>
      <c r="K340" s="9"/>
      <c r="L340" s="9"/>
      <c r="M340" s="9"/>
      <c r="T340"/>
      <c r="XEQ340"/>
      <c r="XER340"/>
      <c r="XES340"/>
      <c r="XET340"/>
      <c r="XEU340"/>
      <c r="XEV340"/>
      <c r="XEW340"/>
      <c r="XEX340"/>
      <c r="XEY340"/>
      <c r="XEZ340"/>
      <c r="XFA340"/>
      <c r="XFB340"/>
      <c r="XFC340"/>
      <c r="XFD340"/>
    </row>
    <row r="341" spans="1:20 16371:16384" s="2" customFormat="1">
      <c r="A341" s="3"/>
      <c r="B341" s="4"/>
      <c r="C341" s="5"/>
      <c r="D341" s="15"/>
      <c r="E341" s="16"/>
      <c r="F341" s="3"/>
      <c r="G341" s="8"/>
      <c r="H341" s="8"/>
      <c r="I341" s="8"/>
      <c r="J341" s="9"/>
      <c r="K341" s="9"/>
      <c r="L341" s="9"/>
      <c r="M341" s="9"/>
      <c r="T341"/>
      <c r="XEQ341"/>
      <c r="XER341"/>
      <c r="XES341"/>
      <c r="XET341"/>
      <c r="XEU341"/>
      <c r="XEV341"/>
      <c r="XEW341"/>
      <c r="XEX341"/>
      <c r="XEY341"/>
      <c r="XEZ341"/>
      <c r="XFA341"/>
      <c r="XFB341"/>
      <c r="XFC341"/>
      <c r="XFD341"/>
    </row>
    <row r="342" spans="1:20 16371:16384" s="2" customFormat="1">
      <c r="A342" s="3"/>
      <c r="B342" s="4"/>
      <c r="C342" s="5"/>
      <c r="D342" s="15"/>
      <c r="E342" s="16"/>
      <c r="F342" s="3"/>
      <c r="G342" s="8"/>
      <c r="H342" s="8"/>
      <c r="I342" s="8"/>
      <c r="J342" s="9"/>
      <c r="K342" s="9"/>
      <c r="L342" s="9"/>
      <c r="M342" s="9"/>
      <c r="T342"/>
      <c r="XEQ342"/>
      <c r="XER342"/>
      <c r="XES342"/>
      <c r="XET342"/>
      <c r="XEU342"/>
      <c r="XEV342"/>
      <c r="XEW342"/>
      <c r="XEX342"/>
      <c r="XEY342"/>
      <c r="XEZ342"/>
      <c r="XFA342"/>
      <c r="XFB342"/>
      <c r="XFC342"/>
      <c r="XFD342"/>
    </row>
    <row r="343" spans="1:20 16371:16384" s="2" customFormat="1">
      <c r="A343" s="3"/>
      <c r="B343" s="4"/>
      <c r="C343" s="5"/>
      <c r="D343" s="15"/>
      <c r="E343" s="16"/>
      <c r="F343" s="3"/>
      <c r="G343" s="8"/>
      <c r="H343" s="8"/>
      <c r="I343" s="8"/>
      <c r="J343" s="9"/>
      <c r="K343" s="9"/>
      <c r="L343" s="9"/>
      <c r="M343" s="9"/>
      <c r="T343"/>
      <c r="XEQ343"/>
      <c r="XER343"/>
      <c r="XES343"/>
      <c r="XET343"/>
      <c r="XEU343"/>
      <c r="XEV343"/>
      <c r="XEW343"/>
      <c r="XEX343"/>
      <c r="XEY343"/>
      <c r="XEZ343"/>
      <c r="XFA343"/>
      <c r="XFB343"/>
      <c r="XFC343"/>
      <c r="XFD343"/>
    </row>
    <row r="344" spans="1:20 16371:16384" s="2" customFormat="1">
      <c r="A344" s="3"/>
      <c r="B344" s="4"/>
      <c r="C344" s="5"/>
      <c r="D344" s="15"/>
      <c r="E344" s="16"/>
      <c r="F344" s="3"/>
      <c r="G344" s="8"/>
      <c r="H344" s="8"/>
      <c r="I344" s="8"/>
      <c r="J344" s="9"/>
      <c r="K344" s="9"/>
      <c r="L344" s="9"/>
      <c r="M344" s="9"/>
      <c r="T344"/>
      <c r="XEQ344"/>
      <c r="XER344"/>
      <c r="XES344"/>
      <c r="XET344"/>
      <c r="XEU344"/>
      <c r="XEV344"/>
      <c r="XEW344"/>
      <c r="XEX344"/>
      <c r="XEY344"/>
      <c r="XEZ344"/>
      <c r="XFA344"/>
      <c r="XFB344"/>
      <c r="XFC344"/>
      <c r="XFD344"/>
    </row>
    <row r="345" spans="1:20 16371:16384" s="2" customFormat="1">
      <c r="A345" s="3"/>
      <c r="B345" s="4"/>
      <c r="C345" s="5"/>
      <c r="D345" s="15"/>
      <c r="E345" s="16"/>
      <c r="F345" s="3"/>
      <c r="G345" s="8"/>
      <c r="H345" s="8"/>
      <c r="I345" s="8"/>
      <c r="J345" s="9"/>
      <c r="K345" s="9"/>
      <c r="L345" s="9"/>
      <c r="M345" s="9"/>
      <c r="T345"/>
      <c r="XEQ345"/>
      <c r="XER345"/>
      <c r="XES345"/>
      <c r="XET345"/>
      <c r="XEU345"/>
      <c r="XEV345"/>
      <c r="XEW345"/>
      <c r="XEX345"/>
      <c r="XEY345"/>
      <c r="XEZ345"/>
      <c r="XFA345"/>
      <c r="XFB345"/>
      <c r="XFC345"/>
      <c r="XFD345"/>
    </row>
    <row r="346" spans="1:20 16371:16384" s="2" customFormat="1">
      <c r="A346" s="3"/>
      <c r="B346" s="4"/>
      <c r="C346" s="5"/>
      <c r="D346" s="15"/>
      <c r="E346" s="16"/>
      <c r="F346" s="3"/>
      <c r="G346" s="8"/>
      <c r="H346" s="8"/>
      <c r="I346" s="8"/>
      <c r="J346" s="9"/>
      <c r="K346" s="9"/>
      <c r="L346" s="9"/>
      <c r="M346" s="9"/>
      <c r="T346"/>
      <c r="XEQ346"/>
      <c r="XER346"/>
      <c r="XES346"/>
      <c r="XET346"/>
      <c r="XEU346"/>
      <c r="XEV346"/>
      <c r="XEW346"/>
      <c r="XEX346"/>
      <c r="XEY346"/>
      <c r="XEZ346"/>
      <c r="XFA346"/>
      <c r="XFB346"/>
      <c r="XFC346"/>
      <c r="XFD346"/>
    </row>
    <row r="347" spans="1:20 16371:16384" s="2" customFormat="1">
      <c r="A347" s="3"/>
      <c r="B347" s="4"/>
      <c r="C347" s="5"/>
      <c r="D347" s="15"/>
      <c r="E347" s="16"/>
      <c r="F347" s="3"/>
      <c r="G347" s="8"/>
      <c r="H347" s="8"/>
      <c r="I347" s="8"/>
      <c r="J347" s="9"/>
      <c r="K347" s="9"/>
      <c r="L347" s="9"/>
      <c r="M347" s="9"/>
      <c r="T347"/>
      <c r="XEQ347"/>
      <c r="XER347"/>
      <c r="XES347"/>
      <c r="XET347"/>
      <c r="XEU347"/>
      <c r="XEV347"/>
      <c r="XEW347"/>
      <c r="XEX347"/>
      <c r="XEY347"/>
      <c r="XEZ347"/>
      <c r="XFA347"/>
      <c r="XFB347"/>
      <c r="XFC347"/>
      <c r="XFD347"/>
    </row>
    <row r="348" spans="1:20 16371:16384" s="2" customFormat="1">
      <c r="A348" s="3"/>
      <c r="B348" s="4"/>
      <c r="C348" s="5"/>
      <c r="D348" s="15"/>
      <c r="E348" s="16"/>
      <c r="F348" s="3"/>
      <c r="G348" s="8"/>
      <c r="H348" s="8"/>
      <c r="I348" s="8"/>
      <c r="J348" s="9"/>
      <c r="K348" s="9"/>
      <c r="L348" s="9"/>
      <c r="M348" s="9"/>
      <c r="T348"/>
      <c r="XEQ348"/>
      <c r="XER348"/>
      <c r="XES348"/>
      <c r="XET348"/>
      <c r="XEU348"/>
      <c r="XEV348"/>
      <c r="XEW348"/>
      <c r="XEX348"/>
      <c r="XEY348"/>
      <c r="XEZ348"/>
      <c r="XFA348"/>
      <c r="XFB348"/>
      <c r="XFC348"/>
      <c r="XFD348"/>
    </row>
    <row r="349" spans="1:20 16371:16384" s="2" customFormat="1">
      <c r="A349" s="3"/>
      <c r="B349" s="4"/>
      <c r="C349" s="5"/>
      <c r="D349" s="15"/>
      <c r="E349" s="16"/>
      <c r="F349" s="3"/>
      <c r="G349" s="8"/>
      <c r="H349" s="8"/>
      <c r="I349" s="8"/>
      <c r="J349" s="9"/>
      <c r="K349" s="9"/>
      <c r="L349" s="9"/>
      <c r="M349" s="9"/>
      <c r="T349"/>
      <c r="XEQ349"/>
      <c r="XER349"/>
      <c r="XES349"/>
      <c r="XET349"/>
      <c r="XEU349"/>
      <c r="XEV349"/>
      <c r="XEW349"/>
      <c r="XEX349"/>
      <c r="XEY349"/>
      <c r="XEZ349"/>
      <c r="XFA349"/>
      <c r="XFB349"/>
      <c r="XFC349"/>
      <c r="XFD349"/>
    </row>
    <row r="350" spans="1:20 16371:16384" s="2" customFormat="1">
      <c r="A350" s="3"/>
      <c r="B350" s="4"/>
      <c r="C350" s="5"/>
      <c r="D350" s="15"/>
      <c r="E350" s="16"/>
      <c r="F350" s="3"/>
      <c r="G350" s="8"/>
      <c r="H350" s="8"/>
      <c r="I350" s="8"/>
      <c r="J350" s="9"/>
      <c r="K350" s="9"/>
      <c r="L350" s="9"/>
      <c r="M350" s="9"/>
      <c r="T350"/>
      <c r="XEQ350"/>
      <c r="XER350"/>
      <c r="XES350"/>
      <c r="XET350"/>
      <c r="XEU350"/>
      <c r="XEV350"/>
      <c r="XEW350"/>
      <c r="XEX350"/>
      <c r="XEY350"/>
      <c r="XEZ350"/>
      <c r="XFA350"/>
      <c r="XFB350"/>
      <c r="XFC350"/>
      <c r="XFD350"/>
    </row>
    <row r="351" spans="1:20 16371:16384" s="2" customFormat="1">
      <c r="A351" s="3"/>
      <c r="B351" s="4"/>
      <c r="C351" s="5"/>
      <c r="D351" s="15"/>
      <c r="E351" s="16"/>
      <c r="F351" s="3"/>
      <c r="G351" s="8"/>
      <c r="H351" s="8"/>
      <c r="I351" s="8"/>
      <c r="J351" s="9"/>
      <c r="K351" s="9"/>
      <c r="L351" s="9"/>
      <c r="M351" s="9"/>
      <c r="T351"/>
      <c r="XEQ351"/>
      <c r="XER351"/>
      <c r="XES351"/>
      <c r="XET351"/>
      <c r="XEU351"/>
      <c r="XEV351"/>
      <c r="XEW351"/>
      <c r="XEX351"/>
      <c r="XEY351"/>
      <c r="XEZ351"/>
      <c r="XFA351"/>
      <c r="XFB351"/>
      <c r="XFC351"/>
      <c r="XFD351"/>
    </row>
    <row r="352" spans="1:20 16371:16384" s="2" customFormat="1">
      <c r="A352" s="3"/>
      <c r="B352" s="4"/>
      <c r="C352" s="5"/>
      <c r="D352" s="15"/>
      <c r="E352" s="16"/>
      <c r="F352" s="3"/>
      <c r="G352" s="8"/>
      <c r="H352" s="8"/>
      <c r="I352" s="8"/>
      <c r="J352" s="9"/>
      <c r="K352" s="9"/>
      <c r="L352" s="9"/>
      <c r="M352" s="9"/>
      <c r="T352"/>
      <c r="XEQ352"/>
      <c r="XER352"/>
      <c r="XES352"/>
      <c r="XET352"/>
      <c r="XEU352"/>
      <c r="XEV352"/>
      <c r="XEW352"/>
      <c r="XEX352"/>
      <c r="XEY352"/>
      <c r="XEZ352"/>
      <c r="XFA352"/>
      <c r="XFB352"/>
      <c r="XFC352"/>
      <c r="XFD352"/>
    </row>
    <row r="353" spans="1:20 16371:16384" s="2" customFormat="1">
      <c r="A353" s="3"/>
      <c r="B353" s="4"/>
      <c r="C353" s="5"/>
      <c r="D353" s="15"/>
      <c r="E353" s="16"/>
      <c r="F353" s="3"/>
      <c r="G353" s="8"/>
      <c r="H353" s="8"/>
      <c r="I353" s="8"/>
      <c r="J353" s="9"/>
      <c r="K353" s="9"/>
      <c r="L353" s="9"/>
      <c r="M353" s="9"/>
      <c r="T353"/>
      <c r="XEQ353"/>
      <c r="XER353"/>
      <c r="XES353"/>
      <c r="XET353"/>
      <c r="XEU353"/>
      <c r="XEV353"/>
      <c r="XEW353"/>
      <c r="XEX353"/>
      <c r="XEY353"/>
      <c r="XEZ353"/>
      <c r="XFA353"/>
      <c r="XFB353"/>
      <c r="XFC353"/>
      <c r="XFD353"/>
    </row>
    <row r="354" spans="1:20 16371:16384" s="2" customFormat="1">
      <c r="A354" s="3"/>
      <c r="B354" s="4"/>
      <c r="C354" s="5"/>
      <c r="D354" s="15"/>
      <c r="E354" s="16"/>
      <c r="F354" s="3"/>
      <c r="G354" s="8"/>
      <c r="H354" s="8"/>
      <c r="I354" s="8"/>
      <c r="J354" s="9"/>
      <c r="K354" s="9"/>
      <c r="L354" s="9"/>
      <c r="M354" s="9"/>
      <c r="T354"/>
      <c r="XEQ354"/>
      <c r="XER354"/>
      <c r="XES354"/>
      <c r="XET354"/>
      <c r="XEU354"/>
      <c r="XEV354"/>
      <c r="XEW354"/>
      <c r="XEX354"/>
      <c r="XEY354"/>
      <c r="XEZ354"/>
      <c r="XFA354"/>
      <c r="XFB354"/>
      <c r="XFC354"/>
      <c r="XFD354"/>
    </row>
    <row r="355" spans="1:20 16371:16384" s="2" customFormat="1">
      <c r="A355" s="3"/>
      <c r="B355" s="4"/>
      <c r="C355" s="5"/>
      <c r="D355" s="15"/>
      <c r="E355" s="16"/>
      <c r="F355" s="3"/>
      <c r="G355" s="8"/>
      <c r="H355" s="8"/>
      <c r="I355" s="8"/>
      <c r="J355" s="9"/>
      <c r="K355" s="9"/>
      <c r="L355" s="9"/>
      <c r="M355" s="9"/>
      <c r="T355"/>
      <c r="XEQ355"/>
      <c r="XER355"/>
      <c r="XES355"/>
      <c r="XET355"/>
      <c r="XEU355"/>
      <c r="XEV355"/>
      <c r="XEW355"/>
      <c r="XEX355"/>
      <c r="XEY355"/>
      <c r="XEZ355"/>
      <c r="XFA355"/>
      <c r="XFB355"/>
      <c r="XFC355"/>
      <c r="XFD355"/>
    </row>
    <row r="356" spans="1:20 16371:16384" s="2" customFormat="1">
      <c r="A356" s="3"/>
      <c r="B356" s="4"/>
      <c r="C356" s="5"/>
      <c r="D356" s="15"/>
      <c r="E356" s="16"/>
      <c r="F356" s="3"/>
      <c r="G356" s="8"/>
      <c r="H356" s="8"/>
      <c r="I356" s="8"/>
      <c r="J356" s="9"/>
      <c r="K356" s="9"/>
      <c r="L356" s="9"/>
      <c r="M356" s="9"/>
      <c r="T356"/>
      <c r="XEQ356"/>
      <c r="XER356"/>
      <c r="XES356"/>
      <c r="XET356"/>
      <c r="XEU356"/>
      <c r="XEV356"/>
      <c r="XEW356"/>
      <c r="XEX356"/>
      <c r="XEY356"/>
      <c r="XEZ356"/>
      <c r="XFA356"/>
      <c r="XFB356"/>
      <c r="XFC356"/>
      <c r="XFD356"/>
    </row>
    <row r="357" spans="1:20 16371:16384" s="2" customFormat="1">
      <c r="A357" s="3"/>
      <c r="B357" s="4"/>
      <c r="C357" s="5"/>
      <c r="D357" s="15"/>
      <c r="E357" s="16"/>
      <c r="F357" s="3"/>
      <c r="G357" s="8"/>
      <c r="H357" s="8"/>
      <c r="I357" s="8"/>
      <c r="J357" s="9"/>
      <c r="K357" s="9"/>
      <c r="L357" s="9"/>
      <c r="M357" s="9"/>
      <c r="T357"/>
      <c r="XEQ357"/>
      <c r="XER357"/>
      <c r="XES357"/>
      <c r="XET357"/>
      <c r="XEU357"/>
      <c r="XEV357"/>
      <c r="XEW357"/>
      <c r="XEX357"/>
      <c r="XEY357"/>
      <c r="XEZ357"/>
      <c r="XFA357"/>
      <c r="XFB357"/>
      <c r="XFC357"/>
      <c r="XFD357"/>
    </row>
    <row r="358" spans="1:20 16371:16384" s="2" customFormat="1">
      <c r="A358" s="3"/>
      <c r="B358" s="4"/>
      <c r="C358" s="5"/>
      <c r="D358" s="15"/>
      <c r="E358" s="16"/>
      <c r="F358" s="3"/>
      <c r="G358" s="8"/>
      <c r="H358" s="8"/>
      <c r="I358" s="8"/>
      <c r="J358" s="9"/>
      <c r="K358" s="9"/>
      <c r="L358" s="9"/>
      <c r="M358" s="9"/>
      <c r="T358"/>
      <c r="XEQ358"/>
      <c r="XER358"/>
      <c r="XES358"/>
      <c r="XET358"/>
      <c r="XEU358"/>
      <c r="XEV358"/>
      <c r="XEW358"/>
      <c r="XEX358"/>
      <c r="XEY358"/>
      <c r="XEZ358"/>
      <c r="XFA358"/>
      <c r="XFB358"/>
      <c r="XFC358"/>
      <c r="XFD358"/>
    </row>
    <row r="359" spans="1:20 16371:16384" s="2" customFormat="1">
      <c r="A359" s="3"/>
      <c r="B359" s="4"/>
      <c r="C359" s="5"/>
      <c r="D359" s="15"/>
      <c r="E359" s="16"/>
      <c r="F359" s="3"/>
      <c r="G359" s="8"/>
      <c r="H359" s="8"/>
      <c r="I359" s="8"/>
      <c r="J359" s="9"/>
      <c r="K359" s="9"/>
      <c r="L359" s="9"/>
      <c r="M359" s="9"/>
      <c r="T359"/>
      <c r="XEQ359"/>
      <c r="XER359"/>
      <c r="XES359"/>
      <c r="XET359"/>
      <c r="XEU359"/>
      <c r="XEV359"/>
      <c r="XEW359"/>
      <c r="XEX359"/>
      <c r="XEY359"/>
      <c r="XEZ359"/>
      <c r="XFA359"/>
      <c r="XFB359"/>
      <c r="XFC359"/>
      <c r="XFD359"/>
    </row>
    <row r="360" spans="1:20 16371:16384" s="2" customFormat="1">
      <c r="A360" s="3"/>
      <c r="B360" s="4"/>
      <c r="C360" s="5"/>
      <c r="D360" s="15"/>
      <c r="E360" s="16"/>
      <c r="F360" s="3"/>
      <c r="G360" s="8"/>
      <c r="H360" s="8"/>
      <c r="I360" s="8"/>
      <c r="J360" s="9"/>
      <c r="K360" s="9"/>
      <c r="L360" s="9"/>
      <c r="M360" s="9"/>
      <c r="T360"/>
      <c r="XEQ360"/>
      <c r="XER360"/>
      <c r="XES360"/>
      <c r="XET360"/>
      <c r="XEU360"/>
      <c r="XEV360"/>
      <c r="XEW360"/>
      <c r="XEX360"/>
      <c r="XEY360"/>
      <c r="XEZ360"/>
      <c r="XFA360"/>
      <c r="XFB360"/>
      <c r="XFC360"/>
      <c r="XFD360"/>
    </row>
    <row r="361" spans="1:20 16371:16384" s="2" customFormat="1">
      <c r="A361" s="3"/>
      <c r="B361" s="4"/>
      <c r="C361" s="5"/>
      <c r="D361" s="15"/>
      <c r="E361" s="16"/>
      <c r="F361" s="3"/>
      <c r="G361" s="8"/>
      <c r="H361" s="8"/>
      <c r="I361" s="8"/>
      <c r="J361" s="9"/>
      <c r="K361" s="9"/>
      <c r="L361" s="9"/>
      <c r="M361" s="9"/>
      <c r="T361"/>
      <c r="XEQ361"/>
      <c r="XER361"/>
      <c r="XES361"/>
      <c r="XET361"/>
      <c r="XEU361"/>
      <c r="XEV361"/>
      <c r="XEW361"/>
      <c r="XEX361"/>
      <c r="XEY361"/>
      <c r="XEZ361"/>
      <c r="XFA361"/>
      <c r="XFB361"/>
      <c r="XFC361"/>
      <c r="XFD361"/>
    </row>
    <row r="362" spans="1:20 16371:16384" s="2" customFormat="1">
      <c r="A362" s="3"/>
      <c r="B362" s="4"/>
      <c r="C362" s="5"/>
      <c r="D362" s="15"/>
      <c r="E362" s="16"/>
      <c r="F362" s="3"/>
      <c r="G362" s="8"/>
      <c r="H362" s="8"/>
      <c r="I362" s="8"/>
      <c r="J362" s="9"/>
      <c r="K362" s="9"/>
      <c r="L362" s="9"/>
      <c r="M362" s="9"/>
      <c r="T362"/>
      <c r="XEQ362"/>
      <c r="XER362"/>
      <c r="XES362"/>
      <c r="XET362"/>
      <c r="XEU362"/>
      <c r="XEV362"/>
      <c r="XEW362"/>
      <c r="XEX362"/>
      <c r="XEY362"/>
      <c r="XEZ362"/>
      <c r="XFA362"/>
      <c r="XFB362"/>
      <c r="XFC362"/>
      <c r="XFD362"/>
    </row>
    <row r="363" spans="1:20 16371:16384" s="2" customFormat="1">
      <c r="A363" s="3"/>
      <c r="B363" s="4"/>
      <c r="C363" s="5"/>
      <c r="D363" s="15"/>
      <c r="E363" s="16"/>
      <c r="F363" s="3"/>
      <c r="G363" s="8"/>
      <c r="H363" s="8"/>
      <c r="I363" s="8"/>
      <c r="J363" s="9"/>
      <c r="K363" s="9"/>
      <c r="L363" s="9"/>
      <c r="M363" s="9"/>
      <c r="T363"/>
      <c r="XEQ363"/>
      <c r="XER363"/>
      <c r="XES363"/>
      <c r="XET363"/>
      <c r="XEU363"/>
      <c r="XEV363"/>
      <c r="XEW363"/>
      <c r="XEX363"/>
      <c r="XEY363"/>
      <c r="XEZ363"/>
      <c r="XFA363"/>
      <c r="XFB363"/>
      <c r="XFC363"/>
      <c r="XFD363"/>
    </row>
    <row r="364" spans="1:20 16371:16384" s="2" customFormat="1">
      <c r="A364" s="3"/>
      <c r="B364" s="4"/>
      <c r="C364" s="5"/>
      <c r="D364" s="15"/>
      <c r="E364" s="16"/>
      <c r="F364" s="3"/>
      <c r="G364" s="8"/>
      <c r="H364" s="8"/>
      <c r="I364" s="8"/>
      <c r="J364" s="9"/>
      <c r="K364" s="9"/>
      <c r="L364" s="9"/>
      <c r="M364" s="9"/>
      <c r="T364"/>
      <c r="XEQ364"/>
      <c r="XER364"/>
      <c r="XES364"/>
      <c r="XET364"/>
      <c r="XEU364"/>
      <c r="XEV364"/>
      <c r="XEW364"/>
      <c r="XEX364"/>
      <c r="XEY364"/>
      <c r="XEZ364"/>
      <c r="XFA364"/>
      <c r="XFB364"/>
      <c r="XFC364"/>
      <c r="XFD364"/>
    </row>
    <row r="365" spans="1:20 16371:16384" s="2" customFormat="1">
      <c r="A365" s="3"/>
      <c r="B365" s="4"/>
      <c r="C365" s="5"/>
      <c r="D365" s="15"/>
      <c r="E365" s="16"/>
      <c r="F365" s="3"/>
      <c r="G365" s="8"/>
      <c r="H365" s="8"/>
      <c r="I365" s="8"/>
      <c r="J365" s="9"/>
      <c r="K365" s="9"/>
      <c r="L365" s="9"/>
      <c r="M365" s="9"/>
      <c r="T365"/>
      <c r="XEQ365"/>
      <c r="XER365"/>
      <c r="XES365"/>
      <c r="XET365"/>
      <c r="XEU365"/>
      <c r="XEV365"/>
      <c r="XEW365"/>
      <c r="XEX365"/>
      <c r="XEY365"/>
      <c r="XEZ365"/>
      <c r="XFA365"/>
      <c r="XFB365"/>
      <c r="XFC365"/>
      <c r="XFD365"/>
    </row>
    <row r="366" spans="1:20 16371:16384" s="2" customFormat="1">
      <c r="A366" s="3"/>
      <c r="B366" s="4"/>
      <c r="C366" s="5"/>
      <c r="D366" s="15"/>
      <c r="E366" s="16"/>
      <c r="F366" s="3"/>
      <c r="G366" s="8"/>
      <c r="H366" s="8"/>
      <c r="I366" s="8"/>
      <c r="J366" s="9"/>
      <c r="K366" s="9"/>
      <c r="L366" s="9"/>
      <c r="M366" s="9"/>
      <c r="T366"/>
      <c r="XEQ366"/>
      <c r="XER366"/>
      <c r="XES366"/>
      <c r="XET366"/>
      <c r="XEU366"/>
      <c r="XEV366"/>
      <c r="XEW366"/>
      <c r="XEX366"/>
      <c r="XEY366"/>
      <c r="XEZ366"/>
      <c r="XFA366"/>
      <c r="XFB366"/>
      <c r="XFC366"/>
      <c r="XFD366"/>
    </row>
    <row r="367" spans="1:20 16371:16384" s="2" customFormat="1">
      <c r="A367" s="3"/>
      <c r="B367" s="4"/>
      <c r="C367" s="5"/>
      <c r="D367" s="15"/>
      <c r="E367" s="16"/>
      <c r="F367" s="3"/>
      <c r="G367" s="8"/>
      <c r="H367" s="8"/>
      <c r="I367" s="8"/>
      <c r="J367" s="9"/>
      <c r="K367" s="9"/>
      <c r="L367" s="9"/>
      <c r="M367" s="9"/>
      <c r="T367"/>
      <c r="XEQ367"/>
      <c r="XER367"/>
      <c r="XES367"/>
      <c r="XET367"/>
      <c r="XEU367"/>
      <c r="XEV367"/>
      <c r="XEW367"/>
      <c r="XEX367"/>
      <c r="XEY367"/>
      <c r="XEZ367"/>
      <c r="XFA367"/>
      <c r="XFB367"/>
      <c r="XFC367"/>
      <c r="XFD367"/>
    </row>
    <row r="368" spans="1:20 16371:16384" s="2" customFormat="1">
      <c r="A368" s="3"/>
      <c r="B368" s="4"/>
      <c r="C368" s="5"/>
      <c r="D368" s="15"/>
      <c r="E368" s="16"/>
      <c r="F368" s="3"/>
      <c r="G368" s="8"/>
      <c r="H368" s="8"/>
      <c r="I368" s="8"/>
      <c r="J368" s="9"/>
      <c r="K368" s="9"/>
      <c r="L368" s="9"/>
      <c r="M368" s="9"/>
      <c r="T368"/>
      <c r="XEQ368"/>
      <c r="XER368"/>
      <c r="XES368"/>
      <c r="XET368"/>
      <c r="XEU368"/>
      <c r="XEV368"/>
      <c r="XEW368"/>
      <c r="XEX368"/>
      <c r="XEY368"/>
      <c r="XEZ368"/>
      <c r="XFA368"/>
      <c r="XFB368"/>
      <c r="XFC368"/>
      <c r="XFD368"/>
    </row>
    <row r="369" spans="1:20 16371:16384" s="2" customFormat="1">
      <c r="A369" s="3"/>
      <c r="B369" s="4"/>
      <c r="C369" s="5"/>
      <c r="D369" s="15"/>
      <c r="E369" s="16"/>
      <c r="F369" s="3"/>
      <c r="G369" s="8"/>
      <c r="H369" s="8"/>
      <c r="I369" s="8"/>
      <c r="J369" s="9"/>
      <c r="K369" s="9"/>
      <c r="L369" s="9"/>
      <c r="M369" s="9"/>
      <c r="T369"/>
      <c r="XEQ369"/>
      <c r="XER369"/>
      <c r="XES369"/>
      <c r="XET369"/>
      <c r="XEU369"/>
      <c r="XEV369"/>
      <c r="XEW369"/>
      <c r="XEX369"/>
      <c r="XEY369"/>
      <c r="XEZ369"/>
      <c r="XFA369"/>
      <c r="XFB369"/>
      <c r="XFC369"/>
      <c r="XFD369"/>
    </row>
    <row r="370" spans="1:20 16371:16384" s="2" customFormat="1">
      <c r="A370" s="3"/>
      <c r="B370" s="4"/>
      <c r="C370" s="5"/>
      <c r="D370" s="15"/>
      <c r="E370" s="16"/>
      <c r="F370" s="3"/>
      <c r="G370" s="8"/>
      <c r="H370" s="8"/>
      <c r="I370" s="8"/>
      <c r="J370" s="9"/>
      <c r="K370" s="9"/>
      <c r="L370" s="9"/>
      <c r="M370" s="9"/>
      <c r="T370"/>
      <c r="XEQ370"/>
      <c r="XER370"/>
      <c r="XES370"/>
      <c r="XET370"/>
      <c r="XEU370"/>
      <c r="XEV370"/>
      <c r="XEW370"/>
      <c r="XEX370"/>
      <c r="XEY370"/>
      <c r="XEZ370"/>
      <c r="XFA370"/>
      <c r="XFB370"/>
      <c r="XFC370"/>
      <c r="XFD370"/>
    </row>
    <row r="371" spans="1:20 16371:16384" s="2" customFormat="1">
      <c r="A371" s="3"/>
      <c r="B371" s="4"/>
      <c r="C371" s="5"/>
      <c r="D371" s="15"/>
      <c r="E371" s="16"/>
      <c r="F371" s="3"/>
      <c r="G371" s="8"/>
      <c r="H371" s="8"/>
      <c r="I371" s="8"/>
      <c r="J371" s="9"/>
      <c r="K371" s="9"/>
      <c r="L371" s="9"/>
      <c r="M371" s="9"/>
      <c r="T371"/>
      <c r="XEQ371"/>
      <c r="XER371"/>
      <c r="XES371"/>
      <c r="XET371"/>
      <c r="XEU371"/>
      <c r="XEV371"/>
      <c r="XEW371"/>
      <c r="XEX371"/>
      <c r="XEY371"/>
      <c r="XEZ371"/>
      <c r="XFA371"/>
      <c r="XFB371"/>
      <c r="XFC371"/>
      <c r="XFD371"/>
    </row>
    <row r="372" spans="1:20 16371:16384" s="2" customFormat="1">
      <c r="A372" s="3"/>
      <c r="B372" s="4"/>
      <c r="C372" s="5"/>
      <c r="D372" s="15"/>
      <c r="E372" s="16"/>
      <c r="F372" s="3"/>
      <c r="G372" s="8"/>
      <c r="H372" s="8"/>
      <c r="I372" s="8"/>
      <c r="J372" s="9"/>
      <c r="K372" s="9"/>
      <c r="L372" s="9"/>
      <c r="M372" s="9"/>
      <c r="T372"/>
      <c r="XEQ372"/>
      <c r="XER372"/>
      <c r="XES372"/>
      <c r="XET372"/>
      <c r="XEU372"/>
      <c r="XEV372"/>
      <c r="XEW372"/>
      <c r="XEX372"/>
      <c r="XEY372"/>
      <c r="XEZ372"/>
      <c r="XFA372"/>
      <c r="XFB372"/>
      <c r="XFC372"/>
      <c r="XFD372"/>
    </row>
    <row r="373" spans="1:20 16371:16384" s="2" customFormat="1">
      <c r="A373" s="3"/>
      <c r="B373" s="4"/>
      <c r="C373" s="5"/>
      <c r="D373" s="15"/>
      <c r="E373" s="16"/>
      <c r="F373" s="3"/>
      <c r="G373" s="8"/>
      <c r="H373" s="8"/>
      <c r="I373" s="8"/>
      <c r="J373" s="9"/>
      <c r="K373" s="9"/>
      <c r="L373" s="9"/>
      <c r="M373" s="9"/>
      <c r="T373"/>
      <c r="XEQ373"/>
      <c r="XER373"/>
      <c r="XES373"/>
      <c r="XET373"/>
      <c r="XEU373"/>
      <c r="XEV373"/>
      <c r="XEW373"/>
      <c r="XEX373"/>
      <c r="XEY373"/>
      <c r="XEZ373"/>
      <c r="XFA373"/>
      <c r="XFB373"/>
      <c r="XFC373"/>
      <c r="XFD373"/>
    </row>
    <row r="374" spans="1:20 16371:16384" s="2" customFormat="1">
      <c r="A374" s="3"/>
      <c r="B374" s="4"/>
      <c r="C374" s="5"/>
      <c r="D374" s="15"/>
      <c r="E374" s="16"/>
      <c r="F374" s="3"/>
      <c r="G374" s="8"/>
      <c r="H374" s="8"/>
      <c r="I374" s="8"/>
      <c r="J374" s="9"/>
      <c r="K374" s="9"/>
      <c r="L374" s="9"/>
      <c r="M374" s="9"/>
      <c r="T374"/>
      <c r="XEQ374"/>
      <c r="XER374"/>
      <c r="XES374"/>
      <c r="XET374"/>
      <c r="XEU374"/>
      <c r="XEV374"/>
      <c r="XEW374"/>
      <c r="XEX374"/>
      <c r="XEY374"/>
      <c r="XEZ374"/>
      <c r="XFA374"/>
      <c r="XFB374"/>
      <c r="XFC374"/>
      <c r="XFD374"/>
    </row>
    <row r="375" spans="1:20 16371:16384" s="2" customFormat="1">
      <c r="A375" s="3"/>
      <c r="B375" s="4"/>
      <c r="C375" s="5"/>
      <c r="D375" s="15"/>
      <c r="E375" s="16"/>
      <c r="F375" s="3"/>
      <c r="G375" s="8"/>
      <c r="H375" s="8"/>
      <c r="I375" s="8"/>
      <c r="J375" s="9"/>
      <c r="K375" s="9"/>
      <c r="L375" s="9"/>
      <c r="M375" s="9"/>
      <c r="T375"/>
      <c r="XEQ375"/>
      <c r="XER375"/>
      <c r="XES375"/>
      <c r="XET375"/>
      <c r="XEU375"/>
      <c r="XEV375"/>
      <c r="XEW375"/>
      <c r="XEX375"/>
      <c r="XEY375"/>
      <c r="XEZ375"/>
      <c r="XFA375"/>
      <c r="XFB375"/>
      <c r="XFC375"/>
      <c r="XFD375"/>
    </row>
    <row r="376" spans="1:20 16371:16384" s="2" customFormat="1">
      <c r="A376" s="3"/>
      <c r="B376" s="4"/>
      <c r="C376" s="5"/>
      <c r="D376" s="15"/>
      <c r="E376" s="16"/>
      <c r="F376" s="3"/>
      <c r="G376" s="8"/>
      <c r="H376" s="8"/>
      <c r="I376" s="8"/>
      <c r="J376" s="9"/>
      <c r="K376" s="9"/>
      <c r="L376" s="9"/>
      <c r="M376" s="9"/>
      <c r="T376"/>
      <c r="XEQ376"/>
      <c r="XER376"/>
      <c r="XES376"/>
      <c r="XET376"/>
      <c r="XEU376"/>
      <c r="XEV376"/>
      <c r="XEW376"/>
      <c r="XEX376"/>
      <c r="XEY376"/>
      <c r="XEZ376"/>
      <c r="XFA376"/>
      <c r="XFB376"/>
      <c r="XFC376"/>
      <c r="XFD376"/>
    </row>
    <row r="377" spans="1:20 16371:16384" s="2" customFormat="1">
      <c r="A377" s="3"/>
      <c r="B377" s="4"/>
      <c r="C377" s="5"/>
      <c r="D377" s="15"/>
      <c r="E377" s="16"/>
      <c r="F377" s="3"/>
      <c r="G377" s="8"/>
      <c r="H377" s="8"/>
      <c r="I377" s="8"/>
      <c r="J377" s="9"/>
      <c r="K377" s="9"/>
      <c r="L377" s="9"/>
      <c r="M377" s="9"/>
      <c r="T377"/>
      <c r="XEQ377"/>
      <c r="XER377"/>
      <c r="XES377"/>
      <c r="XET377"/>
      <c r="XEU377"/>
      <c r="XEV377"/>
      <c r="XEW377"/>
      <c r="XEX377"/>
      <c r="XEY377"/>
      <c r="XEZ377"/>
      <c r="XFA377"/>
      <c r="XFB377"/>
      <c r="XFC377"/>
      <c r="XFD377"/>
    </row>
    <row r="378" spans="1:20 16371:16384" s="2" customFormat="1">
      <c r="A378" s="3"/>
      <c r="B378" s="4"/>
      <c r="C378" s="5"/>
      <c r="D378" s="15"/>
      <c r="E378" s="16"/>
      <c r="F378" s="3"/>
      <c r="G378" s="8"/>
      <c r="H378" s="8"/>
      <c r="I378" s="8"/>
      <c r="J378" s="9"/>
      <c r="K378" s="9"/>
      <c r="L378" s="9"/>
      <c r="M378" s="9"/>
      <c r="T378"/>
      <c r="XEQ378"/>
      <c r="XER378"/>
      <c r="XES378"/>
      <c r="XET378"/>
      <c r="XEU378"/>
      <c r="XEV378"/>
      <c r="XEW378"/>
      <c r="XEX378"/>
      <c r="XEY378"/>
      <c r="XEZ378"/>
      <c r="XFA378"/>
      <c r="XFB378"/>
      <c r="XFC378"/>
      <c r="XFD378"/>
    </row>
    <row r="379" spans="1:20 16371:16384" s="2" customFormat="1">
      <c r="A379" s="3"/>
      <c r="B379" s="4"/>
      <c r="C379" s="5"/>
      <c r="D379" s="15"/>
      <c r="E379" s="16"/>
      <c r="F379" s="3"/>
      <c r="G379" s="8"/>
      <c r="H379" s="8"/>
      <c r="I379" s="8"/>
      <c r="J379" s="9"/>
      <c r="K379" s="9"/>
      <c r="L379" s="9"/>
      <c r="M379" s="9"/>
      <c r="T379"/>
      <c r="XEQ379"/>
      <c r="XER379"/>
      <c r="XES379"/>
      <c r="XET379"/>
      <c r="XEU379"/>
      <c r="XEV379"/>
      <c r="XEW379"/>
      <c r="XEX379"/>
      <c r="XEY379"/>
      <c r="XEZ379"/>
      <c r="XFA379"/>
      <c r="XFB379"/>
      <c r="XFC379"/>
      <c r="XFD379"/>
    </row>
    <row r="380" spans="1:20 16371:16384" s="2" customFormat="1">
      <c r="A380" s="3"/>
      <c r="B380" s="4"/>
      <c r="C380" s="5"/>
      <c r="D380" s="15"/>
      <c r="E380" s="16"/>
      <c r="F380" s="3"/>
      <c r="G380" s="8"/>
      <c r="H380" s="8"/>
      <c r="I380" s="8"/>
      <c r="J380" s="9"/>
      <c r="K380" s="9"/>
      <c r="L380" s="9"/>
      <c r="M380" s="9"/>
      <c r="T380"/>
      <c r="XEQ380"/>
      <c r="XER380"/>
      <c r="XES380"/>
      <c r="XET380"/>
      <c r="XEU380"/>
      <c r="XEV380"/>
      <c r="XEW380"/>
      <c r="XEX380"/>
      <c r="XEY380"/>
      <c r="XEZ380"/>
      <c r="XFA380"/>
      <c r="XFB380"/>
      <c r="XFC380"/>
      <c r="XFD380"/>
    </row>
    <row r="381" spans="1:20 16371:16384" s="2" customFormat="1">
      <c r="A381" s="3"/>
      <c r="B381" s="4"/>
      <c r="C381" s="5"/>
      <c r="D381" s="15"/>
      <c r="E381" s="16"/>
      <c r="F381" s="3"/>
      <c r="G381" s="8"/>
      <c r="H381" s="8"/>
      <c r="I381" s="8"/>
      <c r="J381" s="9"/>
      <c r="K381" s="9"/>
      <c r="L381" s="9"/>
      <c r="M381" s="9"/>
      <c r="T381"/>
      <c r="XEQ381"/>
      <c r="XER381"/>
      <c r="XES381"/>
      <c r="XET381"/>
      <c r="XEU381"/>
      <c r="XEV381"/>
      <c r="XEW381"/>
      <c r="XEX381"/>
      <c r="XEY381"/>
      <c r="XEZ381"/>
      <c r="XFA381"/>
      <c r="XFB381"/>
      <c r="XFC381"/>
      <c r="XFD381"/>
    </row>
    <row r="382" spans="1:20 16371:16384" s="2" customFormat="1">
      <c r="A382" s="3"/>
      <c r="B382" s="4"/>
      <c r="C382" s="5"/>
      <c r="D382" s="15"/>
      <c r="E382" s="16"/>
      <c r="F382" s="3"/>
      <c r="G382" s="8"/>
      <c r="H382" s="8"/>
      <c r="I382" s="8"/>
      <c r="J382" s="9"/>
      <c r="K382" s="9"/>
      <c r="L382" s="9"/>
      <c r="M382" s="9"/>
      <c r="T382"/>
      <c r="XEQ382"/>
      <c r="XER382"/>
      <c r="XES382"/>
      <c r="XET382"/>
      <c r="XEU382"/>
      <c r="XEV382"/>
      <c r="XEW382"/>
      <c r="XEX382"/>
      <c r="XEY382"/>
      <c r="XEZ382"/>
      <c r="XFA382"/>
      <c r="XFB382"/>
      <c r="XFC382"/>
      <c r="XFD382"/>
    </row>
    <row r="383" spans="1:20 16371:16384" s="2" customFormat="1">
      <c r="A383" s="3"/>
      <c r="B383" s="4"/>
      <c r="C383" s="5"/>
      <c r="D383" s="15"/>
      <c r="E383" s="16"/>
      <c r="F383" s="3"/>
      <c r="G383" s="8"/>
      <c r="H383" s="8"/>
      <c r="I383" s="8"/>
      <c r="J383" s="9"/>
      <c r="K383" s="9"/>
      <c r="L383" s="9"/>
      <c r="M383" s="9"/>
      <c r="T383"/>
      <c r="XEQ383"/>
      <c r="XER383"/>
      <c r="XES383"/>
      <c r="XET383"/>
      <c r="XEU383"/>
      <c r="XEV383"/>
      <c r="XEW383"/>
      <c r="XEX383"/>
      <c r="XEY383"/>
      <c r="XEZ383"/>
      <c r="XFA383"/>
      <c r="XFB383"/>
      <c r="XFC383"/>
      <c r="XFD383"/>
    </row>
    <row r="384" spans="1:20 16371:16384" s="2" customFormat="1">
      <c r="A384" s="3"/>
      <c r="B384" s="4"/>
      <c r="C384" s="5"/>
      <c r="D384" s="15"/>
      <c r="E384" s="16"/>
      <c r="F384" s="3"/>
      <c r="G384" s="8"/>
      <c r="H384" s="8"/>
      <c r="I384" s="8"/>
      <c r="J384" s="9"/>
      <c r="K384" s="9"/>
      <c r="L384" s="9"/>
      <c r="M384" s="9"/>
      <c r="T384"/>
      <c r="XEQ384"/>
      <c r="XER384"/>
      <c r="XES384"/>
      <c r="XET384"/>
      <c r="XEU384"/>
      <c r="XEV384"/>
      <c r="XEW384"/>
      <c r="XEX384"/>
      <c r="XEY384"/>
      <c r="XEZ384"/>
      <c r="XFA384"/>
      <c r="XFB384"/>
      <c r="XFC384"/>
      <c r="XFD384"/>
    </row>
    <row r="385" spans="1:20 16371:16384" s="2" customFormat="1">
      <c r="A385" s="3"/>
      <c r="B385" s="4"/>
      <c r="C385" s="5"/>
      <c r="D385" s="15"/>
      <c r="E385" s="16"/>
      <c r="F385" s="3"/>
      <c r="G385" s="8"/>
      <c r="H385" s="8"/>
      <c r="I385" s="8"/>
      <c r="J385" s="9"/>
      <c r="K385" s="9"/>
      <c r="L385" s="9"/>
      <c r="M385" s="9"/>
      <c r="T385"/>
      <c r="XEQ385"/>
      <c r="XER385"/>
      <c r="XES385"/>
      <c r="XET385"/>
      <c r="XEU385"/>
      <c r="XEV385"/>
      <c r="XEW385"/>
      <c r="XEX385"/>
      <c r="XEY385"/>
      <c r="XEZ385"/>
      <c r="XFA385"/>
      <c r="XFB385"/>
      <c r="XFC385"/>
      <c r="XFD385"/>
    </row>
    <row r="386" spans="1:20 16371:16384" s="2" customFormat="1">
      <c r="A386" s="3"/>
      <c r="B386" s="4"/>
      <c r="C386" s="5"/>
      <c r="D386" s="15"/>
      <c r="E386" s="16"/>
      <c r="F386" s="3"/>
      <c r="G386" s="8"/>
      <c r="H386" s="8"/>
      <c r="I386" s="8"/>
      <c r="J386" s="9"/>
      <c r="K386" s="9"/>
      <c r="L386" s="9"/>
      <c r="M386" s="9"/>
      <c r="T386"/>
      <c r="XEQ386"/>
      <c r="XER386"/>
      <c r="XES386"/>
      <c r="XET386"/>
      <c r="XEU386"/>
      <c r="XEV386"/>
      <c r="XEW386"/>
      <c r="XEX386"/>
      <c r="XEY386"/>
      <c r="XEZ386"/>
      <c r="XFA386"/>
      <c r="XFB386"/>
      <c r="XFC386"/>
      <c r="XFD386"/>
    </row>
    <row r="387" spans="1:20 16371:16384" s="2" customFormat="1">
      <c r="A387" s="3"/>
      <c r="B387" s="4"/>
      <c r="C387" s="5"/>
      <c r="D387" s="15"/>
      <c r="E387" s="16"/>
      <c r="F387" s="3"/>
      <c r="G387" s="8"/>
      <c r="H387" s="8"/>
      <c r="I387" s="8"/>
      <c r="J387" s="9"/>
      <c r="K387" s="9"/>
      <c r="L387" s="9"/>
      <c r="M387" s="9"/>
      <c r="T387"/>
      <c r="XEQ387"/>
      <c r="XER387"/>
      <c r="XES387"/>
      <c r="XET387"/>
      <c r="XEU387"/>
      <c r="XEV387"/>
      <c r="XEW387"/>
      <c r="XEX387"/>
      <c r="XEY387"/>
      <c r="XEZ387"/>
      <c r="XFA387"/>
      <c r="XFB387"/>
      <c r="XFC387"/>
      <c r="XFD387"/>
    </row>
    <row r="388" spans="1:20 16371:16384" s="2" customFormat="1">
      <c r="A388" s="3"/>
      <c r="B388" s="4"/>
      <c r="C388" s="5"/>
      <c r="D388" s="15"/>
      <c r="E388" s="16"/>
      <c r="F388" s="3"/>
      <c r="G388" s="8"/>
      <c r="H388" s="8"/>
      <c r="I388" s="8"/>
      <c r="J388" s="9"/>
      <c r="K388" s="9"/>
      <c r="L388" s="9"/>
      <c r="M388" s="9"/>
      <c r="T388"/>
      <c r="XEQ388"/>
      <c r="XER388"/>
      <c r="XES388"/>
      <c r="XET388"/>
      <c r="XEU388"/>
      <c r="XEV388"/>
      <c r="XEW388"/>
      <c r="XEX388"/>
      <c r="XEY388"/>
      <c r="XEZ388"/>
      <c r="XFA388"/>
      <c r="XFB388"/>
      <c r="XFC388"/>
      <c r="XFD388"/>
    </row>
    <row r="389" spans="1:20 16371:16384" s="2" customFormat="1">
      <c r="A389" s="3"/>
      <c r="B389" s="4"/>
      <c r="C389" s="5"/>
      <c r="D389" s="15"/>
      <c r="E389" s="16"/>
      <c r="F389" s="3"/>
      <c r="G389" s="8"/>
      <c r="H389" s="8"/>
      <c r="I389" s="8"/>
      <c r="J389" s="9"/>
      <c r="K389" s="9"/>
      <c r="L389" s="9"/>
      <c r="M389" s="9"/>
      <c r="T389"/>
      <c r="XEQ389"/>
      <c r="XER389"/>
      <c r="XES389"/>
      <c r="XET389"/>
      <c r="XEU389"/>
      <c r="XEV389"/>
      <c r="XEW389"/>
      <c r="XEX389"/>
      <c r="XEY389"/>
      <c r="XEZ389"/>
      <c r="XFA389"/>
      <c r="XFB389"/>
      <c r="XFC389"/>
      <c r="XFD389"/>
    </row>
    <row r="390" spans="1:20 16371:16384" s="2" customFormat="1">
      <c r="A390" s="3"/>
      <c r="B390" s="4"/>
      <c r="C390" s="5"/>
      <c r="D390" s="15"/>
      <c r="E390" s="16"/>
      <c r="F390" s="3"/>
      <c r="G390" s="8"/>
      <c r="H390" s="8"/>
      <c r="I390" s="8"/>
      <c r="J390" s="9"/>
      <c r="K390" s="9"/>
      <c r="L390" s="9"/>
      <c r="M390" s="9"/>
      <c r="T390"/>
      <c r="XEQ390"/>
      <c r="XER390"/>
      <c r="XES390"/>
      <c r="XET390"/>
      <c r="XEU390"/>
      <c r="XEV390"/>
      <c r="XEW390"/>
      <c r="XEX390"/>
      <c r="XEY390"/>
      <c r="XEZ390"/>
      <c r="XFA390"/>
      <c r="XFB390"/>
      <c r="XFC390"/>
      <c r="XFD390"/>
    </row>
    <row r="391" spans="1:20 16371:16384" s="2" customFormat="1">
      <c r="A391" s="3"/>
      <c r="B391" s="4"/>
      <c r="C391" s="5"/>
      <c r="D391" s="15"/>
      <c r="E391" s="16"/>
      <c r="F391" s="3"/>
      <c r="G391" s="8"/>
      <c r="H391" s="8"/>
      <c r="I391" s="8"/>
      <c r="J391" s="9"/>
      <c r="K391" s="9"/>
      <c r="L391" s="9"/>
      <c r="M391" s="9"/>
      <c r="T391"/>
      <c r="XEQ391"/>
      <c r="XER391"/>
      <c r="XES391"/>
      <c r="XET391"/>
      <c r="XEU391"/>
      <c r="XEV391"/>
      <c r="XEW391"/>
      <c r="XEX391"/>
      <c r="XEY391"/>
      <c r="XEZ391"/>
      <c r="XFA391"/>
      <c r="XFB391"/>
      <c r="XFC391"/>
      <c r="XFD391"/>
    </row>
    <row r="392" spans="1:20 16371:16384" s="2" customFormat="1">
      <c r="A392" s="3"/>
      <c r="B392" s="4"/>
      <c r="C392" s="5"/>
      <c r="D392" s="15"/>
      <c r="E392" s="16"/>
      <c r="F392" s="3"/>
      <c r="G392" s="8"/>
      <c r="H392" s="8"/>
      <c r="I392" s="8"/>
      <c r="J392" s="9"/>
      <c r="K392" s="9"/>
      <c r="L392" s="9"/>
      <c r="M392" s="9"/>
      <c r="T392"/>
      <c r="XEQ392"/>
      <c r="XER392"/>
      <c r="XES392"/>
      <c r="XET392"/>
      <c r="XEU392"/>
      <c r="XEV392"/>
      <c r="XEW392"/>
      <c r="XEX392"/>
      <c r="XEY392"/>
      <c r="XEZ392"/>
      <c r="XFA392"/>
      <c r="XFB392"/>
      <c r="XFC392"/>
      <c r="XFD392"/>
    </row>
    <row r="393" spans="1:20 16371:16384" s="2" customFormat="1">
      <c r="A393" s="3"/>
      <c r="B393" s="4"/>
      <c r="C393" s="5"/>
      <c r="D393" s="15"/>
      <c r="E393" s="16"/>
      <c r="F393" s="3"/>
      <c r="G393" s="8"/>
      <c r="H393" s="8"/>
      <c r="I393" s="8"/>
      <c r="J393" s="9"/>
      <c r="K393" s="9"/>
      <c r="L393" s="9"/>
      <c r="M393" s="9"/>
      <c r="T393"/>
      <c r="XEQ393"/>
      <c r="XER393"/>
      <c r="XES393"/>
      <c r="XET393"/>
      <c r="XEU393"/>
      <c r="XEV393"/>
      <c r="XEW393"/>
      <c r="XEX393"/>
      <c r="XEY393"/>
      <c r="XEZ393"/>
      <c r="XFA393"/>
      <c r="XFB393"/>
      <c r="XFC393"/>
      <c r="XFD393"/>
    </row>
    <row r="394" spans="1:20 16371:16384" s="2" customFormat="1">
      <c r="A394" s="3"/>
      <c r="B394" s="4"/>
      <c r="C394" s="5"/>
      <c r="D394" s="15"/>
      <c r="E394" s="16"/>
      <c r="F394" s="3"/>
      <c r="G394" s="8"/>
      <c r="H394" s="8"/>
      <c r="I394" s="8"/>
      <c r="J394" s="9"/>
      <c r="K394" s="9"/>
      <c r="L394" s="9"/>
      <c r="M394" s="9"/>
      <c r="T394"/>
      <c r="XEQ394"/>
      <c r="XER394"/>
      <c r="XES394"/>
      <c r="XET394"/>
      <c r="XEU394"/>
      <c r="XEV394"/>
      <c r="XEW394"/>
      <c r="XEX394"/>
      <c r="XEY394"/>
      <c r="XEZ394"/>
      <c r="XFA394"/>
      <c r="XFB394"/>
      <c r="XFC394"/>
      <c r="XFD394"/>
    </row>
    <row r="395" spans="1:20 16371:16384" s="2" customFormat="1">
      <c r="A395" s="3"/>
      <c r="B395" s="4"/>
      <c r="C395" s="5"/>
      <c r="D395" s="15"/>
      <c r="E395" s="16"/>
      <c r="F395" s="3"/>
      <c r="G395" s="8"/>
      <c r="H395" s="8"/>
      <c r="I395" s="8"/>
      <c r="J395" s="9"/>
      <c r="K395" s="9"/>
      <c r="L395" s="9"/>
      <c r="M395" s="9"/>
      <c r="T395"/>
      <c r="XEQ395"/>
      <c r="XER395"/>
      <c r="XES395"/>
      <c r="XET395"/>
      <c r="XEU395"/>
      <c r="XEV395"/>
      <c r="XEW395"/>
      <c r="XEX395"/>
      <c r="XEY395"/>
      <c r="XEZ395"/>
      <c r="XFA395"/>
      <c r="XFB395"/>
      <c r="XFC395"/>
      <c r="XFD395"/>
    </row>
    <row r="396" spans="1:20 16371:16384" s="2" customFormat="1">
      <c r="A396" s="3"/>
      <c r="B396" s="4"/>
      <c r="C396" s="5"/>
      <c r="D396" s="15"/>
      <c r="E396" s="16"/>
      <c r="F396" s="3"/>
      <c r="G396" s="8"/>
      <c r="H396" s="8"/>
      <c r="I396" s="8"/>
      <c r="J396" s="9"/>
      <c r="K396" s="9"/>
      <c r="L396" s="9"/>
      <c r="M396" s="9"/>
      <c r="T396"/>
      <c r="XEQ396"/>
      <c r="XER396"/>
      <c r="XES396"/>
      <c r="XET396"/>
      <c r="XEU396"/>
      <c r="XEV396"/>
      <c r="XEW396"/>
      <c r="XEX396"/>
      <c r="XEY396"/>
      <c r="XEZ396"/>
      <c r="XFA396"/>
      <c r="XFB396"/>
      <c r="XFC396"/>
      <c r="XFD396"/>
    </row>
    <row r="397" spans="1:20 16371:16384" s="2" customFormat="1">
      <c r="A397" s="3"/>
      <c r="B397" s="4"/>
      <c r="C397" s="5"/>
      <c r="D397" s="15"/>
      <c r="E397" s="16"/>
      <c r="F397" s="3"/>
      <c r="G397" s="8"/>
      <c r="H397" s="8"/>
      <c r="I397" s="8"/>
      <c r="J397" s="9"/>
      <c r="K397" s="9"/>
      <c r="L397" s="9"/>
      <c r="M397" s="9"/>
      <c r="T397"/>
      <c r="XEQ397"/>
      <c r="XER397"/>
      <c r="XES397"/>
      <c r="XET397"/>
      <c r="XEU397"/>
      <c r="XEV397"/>
      <c r="XEW397"/>
      <c r="XEX397"/>
      <c r="XEY397"/>
      <c r="XEZ397"/>
      <c r="XFA397"/>
      <c r="XFB397"/>
      <c r="XFC397"/>
      <c r="XFD397"/>
    </row>
    <row r="398" spans="1:20 16371:16384" s="2" customFormat="1">
      <c r="A398" s="3"/>
      <c r="B398" s="4"/>
      <c r="C398" s="5"/>
      <c r="D398" s="15"/>
      <c r="E398" s="16"/>
      <c r="F398" s="3"/>
      <c r="G398" s="8"/>
      <c r="H398" s="8"/>
      <c r="I398" s="8"/>
      <c r="J398" s="9"/>
      <c r="K398" s="9"/>
      <c r="L398" s="9"/>
      <c r="M398" s="9"/>
      <c r="T398"/>
      <c r="XEQ398"/>
      <c r="XER398"/>
      <c r="XES398"/>
      <c r="XET398"/>
      <c r="XEU398"/>
      <c r="XEV398"/>
      <c r="XEW398"/>
      <c r="XEX398"/>
      <c r="XEY398"/>
      <c r="XEZ398"/>
      <c r="XFA398"/>
      <c r="XFB398"/>
      <c r="XFC398"/>
      <c r="XFD398"/>
    </row>
    <row r="399" spans="1:20 16371:16384" s="2" customFormat="1">
      <c r="A399" s="3"/>
      <c r="B399" s="4"/>
      <c r="C399" s="5"/>
      <c r="D399" s="15"/>
      <c r="E399" s="16"/>
      <c r="F399" s="3"/>
      <c r="G399" s="8"/>
      <c r="H399" s="8"/>
      <c r="I399" s="8"/>
      <c r="J399" s="9"/>
      <c r="K399" s="9"/>
      <c r="L399" s="9"/>
      <c r="M399" s="9"/>
      <c r="T399"/>
      <c r="XEQ399"/>
      <c r="XER399"/>
      <c r="XES399"/>
      <c r="XET399"/>
      <c r="XEU399"/>
      <c r="XEV399"/>
      <c r="XEW399"/>
      <c r="XEX399"/>
      <c r="XEY399"/>
      <c r="XEZ399"/>
      <c r="XFA399"/>
      <c r="XFB399"/>
      <c r="XFC399"/>
      <c r="XFD399"/>
    </row>
    <row r="400" spans="1:20 16371:16384" s="2" customFormat="1">
      <c r="A400" s="3"/>
      <c r="B400" s="4"/>
      <c r="C400" s="5"/>
      <c r="D400" s="15"/>
      <c r="E400" s="16"/>
      <c r="F400" s="3"/>
      <c r="G400" s="8"/>
      <c r="H400" s="8"/>
      <c r="I400" s="8"/>
      <c r="J400" s="9"/>
      <c r="K400" s="9"/>
      <c r="L400" s="9"/>
      <c r="M400" s="9"/>
      <c r="T400"/>
      <c r="XEQ400"/>
      <c r="XER400"/>
      <c r="XES400"/>
      <c r="XET400"/>
      <c r="XEU400"/>
      <c r="XEV400"/>
      <c r="XEW400"/>
      <c r="XEX400"/>
      <c r="XEY400"/>
      <c r="XEZ400"/>
      <c r="XFA400"/>
      <c r="XFB400"/>
      <c r="XFC400"/>
      <c r="XFD400"/>
    </row>
    <row r="401" spans="1:20 16371:16384" s="2" customFormat="1">
      <c r="A401" s="3"/>
      <c r="B401" s="4"/>
      <c r="C401" s="5"/>
      <c r="D401" s="15"/>
      <c r="E401" s="16"/>
      <c r="F401" s="3"/>
      <c r="G401" s="8"/>
      <c r="H401" s="8"/>
      <c r="I401" s="8"/>
      <c r="J401" s="9"/>
      <c r="K401" s="9"/>
      <c r="L401" s="9"/>
      <c r="M401" s="9"/>
      <c r="T401"/>
      <c r="XEQ401"/>
      <c r="XER401"/>
      <c r="XES401"/>
      <c r="XET401"/>
      <c r="XEU401"/>
      <c r="XEV401"/>
      <c r="XEW401"/>
      <c r="XEX401"/>
      <c r="XEY401"/>
      <c r="XEZ401"/>
      <c r="XFA401"/>
      <c r="XFB401"/>
      <c r="XFC401"/>
      <c r="XFD401"/>
    </row>
    <row r="402" spans="1:20 16371:16384" s="2" customFormat="1">
      <c r="A402" s="3"/>
      <c r="B402" s="4"/>
      <c r="C402" s="5"/>
      <c r="D402" s="15"/>
      <c r="E402" s="16"/>
      <c r="F402" s="3"/>
      <c r="G402" s="8"/>
      <c r="H402" s="8"/>
      <c r="I402" s="8"/>
      <c r="J402" s="9"/>
      <c r="K402" s="9"/>
      <c r="L402" s="9"/>
      <c r="M402" s="9"/>
      <c r="T402"/>
      <c r="XEQ402"/>
      <c r="XER402"/>
      <c r="XES402"/>
      <c r="XET402"/>
      <c r="XEU402"/>
      <c r="XEV402"/>
      <c r="XEW402"/>
      <c r="XEX402"/>
      <c r="XEY402"/>
      <c r="XEZ402"/>
      <c r="XFA402"/>
      <c r="XFB402"/>
      <c r="XFC402"/>
      <c r="XFD402"/>
    </row>
    <row r="403" spans="1:20 16371:16384" s="2" customFormat="1">
      <c r="A403" s="3"/>
      <c r="B403" s="4"/>
      <c r="C403" s="5"/>
      <c r="D403" s="15"/>
      <c r="E403" s="16"/>
      <c r="F403" s="3"/>
      <c r="G403" s="8"/>
      <c r="H403" s="8"/>
      <c r="I403" s="8"/>
      <c r="J403" s="9"/>
      <c r="K403" s="9"/>
      <c r="L403" s="9"/>
      <c r="M403" s="9"/>
      <c r="T403"/>
      <c r="XEQ403"/>
      <c r="XER403"/>
      <c r="XES403"/>
      <c r="XET403"/>
      <c r="XEU403"/>
      <c r="XEV403"/>
      <c r="XEW403"/>
      <c r="XEX403"/>
      <c r="XEY403"/>
      <c r="XEZ403"/>
      <c r="XFA403"/>
      <c r="XFB403"/>
      <c r="XFC403"/>
      <c r="XFD403"/>
    </row>
    <row r="404" spans="1:20 16371:16384" s="2" customFormat="1">
      <c r="A404" s="3"/>
      <c r="B404" s="4"/>
      <c r="C404" s="5"/>
      <c r="D404" s="15"/>
      <c r="E404" s="16"/>
      <c r="F404" s="3"/>
      <c r="G404" s="8"/>
      <c r="H404" s="8"/>
      <c r="I404" s="8"/>
      <c r="J404" s="9"/>
      <c r="K404" s="9"/>
      <c r="L404" s="9"/>
      <c r="M404" s="9"/>
      <c r="T404"/>
      <c r="XEQ404"/>
      <c r="XER404"/>
      <c r="XES404"/>
      <c r="XET404"/>
      <c r="XEU404"/>
      <c r="XEV404"/>
      <c r="XEW404"/>
      <c r="XEX404"/>
      <c r="XEY404"/>
      <c r="XEZ404"/>
      <c r="XFA404"/>
      <c r="XFB404"/>
      <c r="XFC404"/>
      <c r="XFD404"/>
    </row>
    <row r="405" spans="1:20 16371:16384" s="2" customFormat="1">
      <c r="A405" s="3"/>
      <c r="B405" s="4"/>
      <c r="C405" s="5"/>
      <c r="D405" s="15"/>
      <c r="E405" s="16"/>
      <c r="F405" s="3"/>
      <c r="G405" s="8"/>
      <c r="H405" s="8"/>
      <c r="I405" s="8"/>
      <c r="J405" s="9"/>
      <c r="K405" s="9"/>
      <c r="L405" s="9"/>
      <c r="M405" s="9"/>
      <c r="T405"/>
      <c r="XEQ405"/>
      <c r="XER405"/>
      <c r="XES405"/>
      <c r="XET405"/>
      <c r="XEU405"/>
      <c r="XEV405"/>
      <c r="XEW405"/>
      <c r="XEX405"/>
      <c r="XEY405"/>
      <c r="XEZ405"/>
      <c r="XFA405"/>
      <c r="XFB405"/>
      <c r="XFC405"/>
      <c r="XFD405"/>
    </row>
    <row r="406" spans="1:20 16371:16384" s="2" customFormat="1">
      <c r="A406" s="3"/>
      <c r="B406" s="4"/>
      <c r="C406" s="5"/>
      <c r="D406" s="15"/>
      <c r="E406" s="16"/>
      <c r="F406" s="3"/>
      <c r="G406" s="8"/>
      <c r="H406" s="8"/>
      <c r="I406" s="8"/>
      <c r="J406" s="9"/>
      <c r="K406" s="9"/>
      <c r="L406" s="9"/>
      <c r="M406" s="9"/>
      <c r="T406"/>
      <c r="XEQ406"/>
      <c r="XER406"/>
      <c r="XES406"/>
      <c r="XET406"/>
      <c r="XEU406"/>
      <c r="XEV406"/>
      <c r="XEW406"/>
      <c r="XEX406"/>
      <c r="XEY406"/>
      <c r="XEZ406"/>
      <c r="XFA406"/>
      <c r="XFB406"/>
      <c r="XFC406"/>
      <c r="XFD406"/>
    </row>
    <row r="407" spans="1:20 16371:16384" s="2" customFormat="1">
      <c r="A407" s="3"/>
      <c r="B407" s="4"/>
      <c r="C407" s="5"/>
      <c r="D407" s="15"/>
      <c r="E407" s="16"/>
      <c r="F407" s="3"/>
      <c r="G407" s="8"/>
      <c r="H407" s="8"/>
      <c r="I407" s="8"/>
      <c r="J407" s="9"/>
      <c r="K407" s="9"/>
      <c r="L407" s="9"/>
      <c r="M407" s="9"/>
      <c r="T407"/>
      <c r="XEQ407"/>
      <c r="XER407"/>
      <c r="XES407"/>
      <c r="XET407"/>
      <c r="XEU407"/>
      <c r="XEV407"/>
      <c r="XEW407"/>
      <c r="XEX407"/>
      <c r="XEY407"/>
      <c r="XEZ407"/>
      <c r="XFA407"/>
      <c r="XFB407"/>
      <c r="XFC407"/>
      <c r="XFD407"/>
    </row>
    <row r="408" spans="1:20 16371:16384" s="2" customFormat="1">
      <c r="A408" s="3"/>
      <c r="B408" s="4"/>
      <c r="C408" s="5"/>
      <c r="D408" s="15"/>
      <c r="E408" s="16"/>
      <c r="F408" s="3"/>
      <c r="G408" s="8"/>
      <c r="H408" s="8"/>
      <c r="I408" s="8"/>
      <c r="J408" s="9"/>
      <c r="K408" s="9"/>
      <c r="L408" s="9"/>
      <c r="M408" s="9"/>
      <c r="T408"/>
      <c r="XEQ408"/>
      <c r="XER408"/>
      <c r="XES408"/>
      <c r="XET408"/>
      <c r="XEU408"/>
      <c r="XEV408"/>
      <c r="XEW408"/>
      <c r="XEX408"/>
      <c r="XEY408"/>
      <c r="XEZ408"/>
      <c r="XFA408"/>
      <c r="XFB408"/>
      <c r="XFC408"/>
      <c r="XFD408"/>
    </row>
    <row r="409" spans="1:20 16371:16384" s="2" customFormat="1">
      <c r="A409" s="3"/>
      <c r="B409" s="4"/>
      <c r="C409" s="5"/>
      <c r="D409" s="15"/>
      <c r="E409" s="16"/>
      <c r="F409" s="3"/>
      <c r="G409" s="8"/>
      <c r="H409" s="8"/>
      <c r="I409" s="8"/>
      <c r="J409" s="9"/>
      <c r="K409" s="9"/>
      <c r="L409" s="9"/>
      <c r="M409" s="9"/>
      <c r="T409"/>
      <c r="XEQ409"/>
      <c r="XER409"/>
      <c r="XES409"/>
      <c r="XET409"/>
      <c r="XEU409"/>
      <c r="XEV409"/>
      <c r="XEW409"/>
      <c r="XEX409"/>
      <c r="XEY409"/>
      <c r="XEZ409"/>
      <c r="XFA409"/>
      <c r="XFB409"/>
      <c r="XFC409"/>
      <c r="XFD409"/>
    </row>
    <row r="410" spans="1:20 16371:16384" s="2" customFormat="1">
      <c r="A410" s="3"/>
      <c r="B410" s="4"/>
      <c r="C410" s="5"/>
      <c r="D410" s="15"/>
      <c r="E410" s="16"/>
      <c r="F410" s="3"/>
      <c r="G410" s="8"/>
      <c r="H410" s="8"/>
      <c r="I410" s="8"/>
      <c r="J410" s="9"/>
      <c r="K410" s="9"/>
      <c r="L410" s="9"/>
      <c r="M410" s="9"/>
      <c r="T410"/>
      <c r="XEQ410"/>
      <c r="XER410"/>
      <c r="XES410"/>
      <c r="XET410"/>
      <c r="XEU410"/>
      <c r="XEV410"/>
      <c r="XEW410"/>
      <c r="XEX410"/>
      <c r="XEY410"/>
      <c r="XEZ410"/>
      <c r="XFA410"/>
      <c r="XFB410"/>
      <c r="XFC410"/>
      <c r="XFD410"/>
    </row>
    <row r="411" spans="1:20 16371:16384" s="2" customFormat="1">
      <c r="A411" s="3"/>
      <c r="B411" s="4"/>
      <c r="C411" s="5"/>
      <c r="D411" s="15"/>
      <c r="E411" s="16"/>
      <c r="F411" s="3"/>
      <c r="G411" s="8"/>
      <c r="H411" s="8"/>
      <c r="I411" s="8"/>
      <c r="J411" s="9"/>
      <c r="K411" s="9"/>
      <c r="L411" s="9"/>
      <c r="M411" s="9"/>
      <c r="T411"/>
      <c r="XEQ411"/>
      <c r="XER411"/>
      <c r="XES411"/>
      <c r="XET411"/>
      <c r="XEU411"/>
      <c r="XEV411"/>
      <c r="XEW411"/>
      <c r="XEX411"/>
      <c r="XEY411"/>
      <c r="XEZ411"/>
      <c r="XFA411"/>
      <c r="XFB411"/>
      <c r="XFC411"/>
      <c r="XFD411"/>
    </row>
    <row r="412" spans="1:20 16371:16384" s="2" customFormat="1">
      <c r="A412" s="3"/>
      <c r="B412" s="4"/>
      <c r="C412" s="5"/>
      <c r="D412" s="15"/>
      <c r="E412" s="16"/>
      <c r="F412" s="3"/>
      <c r="G412" s="8"/>
      <c r="H412" s="8"/>
      <c r="I412" s="8"/>
      <c r="J412" s="9"/>
      <c r="K412" s="9"/>
      <c r="L412" s="9"/>
      <c r="M412" s="9"/>
      <c r="T412"/>
      <c r="XEQ412"/>
      <c r="XER412"/>
      <c r="XES412"/>
      <c r="XET412"/>
      <c r="XEU412"/>
      <c r="XEV412"/>
      <c r="XEW412"/>
      <c r="XEX412"/>
      <c r="XEY412"/>
      <c r="XEZ412"/>
      <c r="XFA412"/>
      <c r="XFB412"/>
      <c r="XFC412"/>
      <c r="XFD412"/>
    </row>
    <row r="413" spans="1:20 16371:16384" s="2" customFormat="1">
      <c r="A413" s="3"/>
      <c r="B413" s="4"/>
      <c r="C413" s="5"/>
      <c r="D413" s="15"/>
      <c r="E413" s="16"/>
      <c r="F413" s="3"/>
      <c r="G413" s="8"/>
      <c r="H413" s="8"/>
      <c r="I413" s="8"/>
      <c r="J413" s="9"/>
      <c r="K413" s="9"/>
      <c r="L413" s="9"/>
      <c r="M413" s="9"/>
      <c r="T413"/>
      <c r="XEQ413"/>
      <c r="XER413"/>
      <c r="XES413"/>
      <c r="XET413"/>
      <c r="XEU413"/>
      <c r="XEV413"/>
      <c r="XEW413"/>
      <c r="XEX413"/>
      <c r="XEY413"/>
      <c r="XEZ413"/>
      <c r="XFA413"/>
      <c r="XFB413"/>
      <c r="XFC413"/>
      <c r="XFD413"/>
    </row>
    <row r="414" spans="1:20 16371:16384" s="2" customFormat="1">
      <c r="A414" s="3"/>
      <c r="B414" s="4"/>
      <c r="C414" s="5"/>
      <c r="D414" s="15"/>
      <c r="E414" s="16"/>
      <c r="F414" s="3"/>
      <c r="G414" s="8"/>
      <c r="H414" s="8"/>
      <c r="I414" s="8"/>
      <c r="J414" s="9"/>
      <c r="K414" s="9"/>
      <c r="L414" s="9"/>
      <c r="M414" s="9"/>
      <c r="T414"/>
      <c r="XEQ414"/>
      <c r="XER414"/>
      <c r="XES414"/>
      <c r="XET414"/>
      <c r="XEU414"/>
      <c r="XEV414"/>
      <c r="XEW414"/>
      <c r="XEX414"/>
      <c r="XEY414"/>
      <c r="XEZ414"/>
      <c r="XFA414"/>
      <c r="XFB414"/>
      <c r="XFC414"/>
      <c r="XFD414"/>
    </row>
    <row r="415" spans="1:20 16371:16384" s="2" customFormat="1">
      <c r="A415" s="3"/>
      <c r="B415" s="4"/>
      <c r="C415" s="5"/>
      <c r="D415" s="15"/>
      <c r="E415" s="16"/>
      <c r="F415" s="3"/>
      <c r="G415" s="8"/>
      <c r="H415" s="8"/>
      <c r="I415" s="8"/>
      <c r="J415" s="9"/>
      <c r="K415" s="9"/>
      <c r="L415" s="9"/>
      <c r="M415" s="9"/>
      <c r="T415"/>
      <c r="XEQ415"/>
      <c r="XER415"/>
      <c r="XES415"/>
      <c r="XET415"/>
      <c r="XEU415"/>
      <c r="XEV415"/>
      <c r="XEW415"/>
      <c r="XEX415"/>
      <c r="XEY415"/>
      <c r="XEZ415"/>
      <c r="XFA415"/>
      <c r="XFB415"/>
      <c r="XFC415"/>
      <c r="XFD415"/>
    </row>
    <row r="416" spans="1:20 16371:16384" s="2" customFormat="1">
      <c r="A416" s="3"/>
      <c r="B416" s="4"/>
      <c r="C416" s="5"/>
      <c r="D416" s="15"/>
      <c r="E416" s="16"/>
      <c r="F416" s="3"/>
      <c r="G416" s="8"/>
      <c r="H416" s="8"/>
      <c r="I416" s="8"/>
      <c r="J416" s="9"/>
      <c r="K416" s="9"/>
      <c r="L416" s="9"/>
      <c r="M416" s="9"/>
      <c r="T416"/>
      <c r="XEQ416"/>
      <c r="XER416"/>
      <c r="XES416"/>
      <c r="XET416"/>
      <c r="XEU416"/>
      <c r="XEV416"/>
      <c r="XEW416"/>
      <c r="XEX416"/>
      <c r="XEY416"/>
      <c r="XEZ416"/>
      <c r="XFA416"/>
      <c r="XFB416"/>
      <c r="XFC416"/>
      <c r="XFD416"/>
    </row>
    <row r="417" spans="1:20 16371:16384" s="2" customFormat="1">
      <c r="A417" s="3"/>
      <c r="B417" s="4"/>
      <c r="C417" s="5"/>
      <c r="D417" s="15"/>
      <c r="E417" s="16"/>
      <c r="F417" s="3"/>
      <c r="G417" s="8"/>
      <c r="H417" s="8"/>
      <c r="I417" s="8"/>
      <c r="J417" s="9"/>
      <c r="K417" s="9"/>
      <c r="L417" s="9"/>
      <c r="M417" s="9"/>
      <c r="T417"/>
      <c r="XEQ417"/>
      <c r="XER417"/>
      <c r="XES417"/>
      <c r="XET417"/>
      <c r="XEU417"/>
      <c r="XEV417"/>
      <c r="XEW417"/>
      <c r="XEX417"/>
      <c r="XEY417"/>
      <c r="XEZ417"/>
      <c r="XFA417"/>
      <c r="XFB417"/>
      <c r="XFC417"/>
      <c r="XFD417"/>
    </row>
    <row r="418" spans="1:20 16371:16384" s="2" customFormat="1">
      <c r="A418" s="3"/>
      <c r="B418" s="4"/>
      <c r="C418" s="5"/>
      <c r="D418" s="15"/>
      <c r="E418" s="16"/>
      <c r="F418" s="3"/>
      <c r="G418" s="8"/>
      <c r="H418" s="8"/>
      <c r="I418" s="8"/>
      <c r="J418" s="9"/>
      <c r="K418" s="9"/>
      <c r="L418" s="9"/>
      <c r="M418" s="9"/>
      <c r="T418"/>
      <c r="XEQ418"/>
      <c r="XER418"/>
      <c r="XES418"/>
      <c r="XET418"/>
      <c r="XEU418"/>
      <c r="XEV418"/>
      <c r="XEW418"/>
      <c r="XEX418"/>
      <c r="XEY418"/>
      <c r="XEZ418"/>
      <c r="XFA418"/>
      <c r="XFB418"/>
      <c r="XFC418"/>
      <c r="XFD418"/>
    </row>
    <row r="419" spans="1:20 16371:16384" s="2" customFormat="1">
      <c r="A419" s="3"/>
      <c r="B419" s="4"/>
      <c r="C419" s="5"/>
      <c r="D419" s="15"/>
      <c r="E419" s="16"/>
      <c r="F419" s="3"/>
      <c r="G419" s="8"/>
      <c r="H419" s="8"/>
      <c r="I419" s="8"/>
      <c r="J419" s="9"/>
      <c r="K419" s="9"/>
      <c r="L419" s="9"/>
      <c r="M419" s="9"/>
      <c r="T419"/>
      <c r="XEQ419"/>
      <c r="XER419"/>
      <c r="XES419"/>
      <c r="XET419"/>
      <c r="XEU419"/>
      <c r="XEV419"/>
      <c r="XEW419"/>
      <c r="XEX419"/>
      <c r="XEY419"/>
      <c r="XEZ419"/>
      <c r="XFA419"/>
      <c r="XFB419"/>
      <c r="XFC419"/>
      <c r="XFD419"/>
    </row>
    <row r="420" spans="1:20 16371:16384" s="2" customFormat="1">
      <c r="A420" s="3"/>
      <c r="B420" s="4"/>
      <c r="C420" s="5"/>
      <c r="D420" s="15"/>
      <c r="E420" s="16"/>
      <c r="F420" s="3"/>
      <c r="G420" s="8"/>
      <c r="H420" s="8"/>
      <c r="I420" s="8"/>
      <c r="J420" s="9"/>
      <c r="K420" s="9"/>
      <c r="L420" s="9"/>
      <c r="M420" s="9"/>
      <c r="T420"/>
      <c r="XEQ420"/>
      <c r="XER420"/>
      <c r="XES420"/>
      <c r="XET420"/>
      <c r="XEU420"/>
      <c r="XEV420"/>
      <c r="XEW420"/>
      <c r="XEX420"/>
      <c r="XEY420"/>
      <c r="XEZ420"/>
      <c r="XFA420"/>
      <c r="XFB420"/>
      <c r="XFC420"/>
      <c r="XFD420"/>
    </row>
    <row r="421" spans="1:20 16371:16384" s="2" customFormat="1">
      <c r="A421" s="3"/>
      <c r="B421" s="4"/>
      <c r="C421" s="5"/>
      <c r="D421" s="15"/>
      <c r="E421" s="16"/>
      <c r="F421" s="3"/>
      <c r="G421" s="8"/>
      <c r="H421" s="8"/>
      <c r="I421" s="8"/>
      <c r="J421" s="9"/>
      <c r="K421" s="9"/>
      <c r="L421" s="9"/>
      <c r="M421" s="9"/>
      <c r="T421"/>
      <c r="XEQ421"/>
      <c r="XER421"/>
      <c r="XES421"/>
      <c r="XET421"/>
      <c r="XEU421"/>
      <c r="XEV421"/>
      <c r="XEW421"/>
      <c r="XEX421"/>
      <c r="XEY421"/>
      <c r="XEZ421"/>
      <c r="XFA421"/>
      <c r="XFB421"/>
      <c r="XFC421"/>
      <c r="XFD421"/>
    </row>
    <row r="422" spans="1:20 16371:16384" s="2" customFormat="1">
      <c r="A422" s="3"/>
      <c r="B422" s="4"/>
      <c r="C422" s="5"/>
      <c r="D422" s="15"/>
      <c r="E422" s="16"/>
      <c r="F422" s="3"/>
      <c r="G422" s="8"/>
      <c r="H422" s="8"/>
      <c r="I422" s="8"/>
      <c r="J422" s="9"/>
      <c r="K422" s="9"/>
      <c r="L422" s="9"/>
      <c r="M422" s="9"/>
      <c r="T422"/>
      <c r="XEQ422"/>
      <c r="XER422"/>
      <c r="XES422"/>
      <c r="XET422"/>
      <c r="XEU422"/>
      <c r="XEV422"/>
      <c r="XEW422"/>
      <c r="XEX422"/>
      <c r="XEY422"/>
      <c r="XEZ422"/>
      <c r="XFA422"/>
      <c r="XFB422"/>
      <c r="XFC422"/>
      <c r="XFD422"/>
    </row>
    <row r="423" spans="1:20 16371:16384" s="2" customFormat="1">
      <c r="A423" s="3"/>
      <c r="B423" s="4"/>
      <c r="C423" s="5"/>
      <c r="D423" s="15"/>
      <c r="E423" s="16"/>
      <c r="F423" s="3"/>
      <c r="G423" s="8"/>
      <c r="H423" s="8"/>
      <c r="I423" s="8"/>
      <c r="J423" s="9"/>
      <c r="K423" s="9"/>
      <c r="L423" s="9"/>
      <c r="M423" s="9"/>
      <c r="T423"/>
      <c r="XEQ423"/>
      <c r="XER423"/>
      <c r="XES423"/>
      <c r="XET423"/>
      <c r="XEU423"/>
      <c r="XEV423"/>
      <c r="XEW423"/>
      <c r="XEX423"/>
      <c r="XEY423"/>
      <c r="XEZ423"/>
      <c r="XFA423"/>
      <c r="XFB423"/>
      <c r="XFC423"/>
      <c r="XFD423"/>
    </row>
    <row r="424" spans="1:20 16371:16384" s="2" customFormat="1">
      <c r="A424" s="3"/>
      <c r="B424" s="4"/>
      <c r="C424" s="5"/>
      <c r="D424" s="15"/>
      <c r="E424" s="16"/>
      <c r="F424" s="3"/>
      <c r="G424" s="8"/>
      <c r="H424" s="8"/>
      <c r="I424" s="8"/>
      <c r="J424" s="9"/>
      <c r="K424" s="9"/>
      <c r="L424" s="9"/>
      <c r="M424" s="9"/>
      <c r="T424"/>
      <c r="XEQ424"/>
      <c r="XER424"/>
      <c r="XES424"/>
      <c r="XET424"/>
      <c r="XEU424"/>
      <c r="XEV424"/>
      <c r="XEW424"/>
      <c r="XEX424"/>
      <c r="XEY424"/>
      <c r="XEZ424"/>
      <c r="XFA424"/>
      <c r="XFB424"/>
      <c r="XFC424"/>
      <c r="XFD424"/>
    </row>
    <row r="425" spans="1:20 16371:16384" s="2" customFormat="1">
      <c r="A425" s="3"/>
      <c r="B425" s="4"/>
      <c r="C425" s="5"/>
      <c r="D425" s="15"/>
      <c r="E425" s="16"/>
      <c r="F425" s="3"/>
      <c r="G425" s="8"/>
      <c r="H425" s="8"/>
      <c r="I425" s="8"/>
      <c r="J425" s="9"/>
      <c r="K425" s="9"/>
      <c r="L425" s="9"/>
      <c r="M425" s="9"/>
      <c r="T425"/>
      <c r="XEQ425"/>
      <c r="XER425"/>
      <c r="XES425"/>
      <c r="XET425"/>
      <c r="XEU425"/>
      <c r="XEV425"/>
      <c r="XEW425"/>
      <c r="XEX425"/>
      <c r="XEY425"/>
      <c r="XEZ425"/>
      <c r="XFA425"/>
      <c r="XFB425"/>
      <c r="XFC425"/>
      <c r="XFD425"/>
    </row>
    <row r="426" spans="1:20 16371:16384" s="2" customFormat="1">
      <c r="A426" s="3"/>
      <c r="B426" s="4"/>
      <c r="C426" s="5"/>
      <c r="D426" s="15"/>
      <c r="E426" s="16"/>
      <c r="F426" s="3"/>
      <c r="G426" s="8"/>
      <c r="H426" s="8"/>
      <c r="I426" s="8"/>
      <c r="J426" s="9"/>
      <c r="K426" s="9"/>
      <c r="L426" s="9"/>
      <c r="M426" s="9"/>
      <c r="T426"/>
      <c r="XEQ426"/>
      <c r="XER426"/>
      <c r="XES426"/>
      <c r="XET426"/>
      <c r="XEU426"/>
      <c r="XEV426"/>
      <c r="XEW426"/>
      <c r="XEX426"/>
      <c r="XEY426"/>
      <c r="XEZ426"/>
      <c r="XFA426"/>
      <c r="XFB426"/>
      <c r="XFC426"/>
      <c r="XFD426"/>
    </row>
    <row r="427" spans="1:20 16371:16384" s="2" customFormat="1">
      <c r="A427" s="3"/>
      <c r="B427" s="4"/>
      <c r="C427" s="5"/>
      <c r="D427" s="15"/>
      <c r="E427" s="16"/>
      <c r="F427" s="3"/>
      <c r="G427" s="8"/>
      <c r="H427" s="8"/>
      <c r="I427" s="8"/>
      <c r="J427" s="9"/>
      <c r="K427" s="9"/>
      <c r="L427" s="9"/>
      <c r="M427" s="9"/>
      <c r="T427"/>
      <c r="XEQ427"/>
      <c r="XER427"/>
      <c r="XES427"/>
      <c r="XET427"/>
      <c r="XEU427"/>
      <c r="XEV427"/>
      <c r="XEW427"/>
      <c r="XEX427"/>
      <c r="XEY427"/>
      <c r="XEZ427"/>
      <c r="XFA427"/>
      <c r="XFB427"/>
      <c r="XFC427"/>
      <c r="XFD427"/>
    </row>
    <row r="428" spans="1:20 16371:16384" s="2" customFormat="1">
      <c r="A428" s="3"/>
      <c r="B428" s="4"/>
      <c r="C428" s="5"/>
      <c r="D428" s="15"/>
      <c r="E428" s="16"/>
      <c r="F428" s="3"/>
      <c r="G428" s="8"/>
      <c r="H428" s="8"/>
      <c r="I428" s="8"/>
      <c r="J428" s="9"/>
      <c r="K428" s="9"/>
      <c r="L428" s="9"/>
      <c r="M428" s="9"/>
      <c r="T428"/>
      <c r="XEQ428"/>
      <c r="XER428"/>
      <c r="XES428"/>
      <c r="XET428"/>
      <c r="XEU428"/>
      <c r="XEV428"/>
      <c r="XEW428"/>
      <c r="XEX428"/>
      <c r="XEY428"/>
      <c r="XEZ428"/>
      <c r="XFA428"/>
      <c r="XFB428"/>
      <c r="XFC428"/>
      <c r="XFD428"/>
    </row>
    <row r="429" spans="1:20 16371:16384" s="2" customFormat="1">
      <c r="A429" s="3"/>
      <c r="B429" s="4"/>
      <c r="C429" s="5"/>
      <c r="D429" s="15"/>
      <c r="E429" s="16"/>
      <c r="F429" s="3"/>
      <c r="G429" s="8"/>
      <c r="H429" s="8"/>
      <c r="I429" s="8"/>
      <c r="J429" s="9"/>
      <c r="K429" s="9"/>
      <c r="L429" s="9"/>
      <c r="M429" s="9"/>
      <c r="T429"/>
      <c r="XEQ429"/>
      <c r="XER429"/>
      <c r="XES429"/>
      <c r="XET429"/>
      <c r="XEU429"/>
      <c r="XEV429"/>
      <c r="XEW429"/>
      <c r="XEX429"/>
      <c r="XEY429"/>
      <c r="XEZ429"/>
      <c r="XFA429"/>
      <c r="XFB429"/>
      <c r="XFC429"/>
      <c r="XFD429"/>
    </row>
    <row r="430" spans="1:20 16371:16384" s="2" customFormat="1">
      <c r="A430" s="3"/>
      <c r="B430" s="4"/>
      <c r="C430" s="5"/>
      <c r="D430" s="15"/>
      <c r="E430" s="16"/>
      <c r="F430" s="3"/>
      <c r="G430" s="8"/>
      <c r="H430" s="8"/>
      <c r="I430" s="8"/>
      <c r="J430" s="9"/>
      <c r="K430" s="9"/>
      <c r="L430" s="9"/>
      <c r="M430" s="9"/>
      <c r="T430"/>
      <c r="XEQ430"/>
      <c r="XER430"/>
      <c r="XES430"/>
      <c r="XET430"/>
      <c r="XEU430"/>
      <c r="XEV430"/>
      <c r="XEW430"/>
      <c r="XEX430"/>
      <c r="XEY430"/>
      <c r="XEZ430"/>
      <c r="XFA430"/>
      <c r="XFB430"/>
      <c r="XFC430"/>
      <c r="XFD430"/>
    </row>
    <row r="431" spans="1:20 16371:16384" s="2" customFormat="1">
      <c r="A431" s="3"/>
      <c r="B431" s="4"/>
      <c r="C431" s="5"/>
      <c r="D431" s="15"/>
      <c r="E431" s="16"/>
      <c r="F431" s="3"/>
      <c r="G431" s="8"/>
      <c r="H431" s="8"/>
      <c r="I431" s="8"/>
      <c r="J431" s="9"/>
      <c r="K431" s="9"/>
      <c r="L431" s="9"/>
      <c r="M431" s="9"/>
      <c r="T431"/>
      <c r="XEQ431"/>
      <c r="XER431"/>
      <c r="XES431"/>
      <c r="XET431"/>
      <c r="XEU431"/>
      <c r="XEV431"/>
      <c r="XEW431"/>
      <c r="XEX431"/>
      <c r="XEY431"/>
      <c r="XEZ431"/>
      <c r="XFA431"/>
      <c r="XFB431"/>
      <c r="XFC431"/>
      <c r="XFD431"/>
    </row>
    <row r="432" spans="1:20 16371:16384" s="2" customFormat="1">
      <c r="A432" s="3"/>
      <c r="B432" s="4"/>
      <c r="C432" s="5"/>
      <c r="D432" s="15"/>
      <c r="E432" s="16"/>
      <c r="F432" s="3"/>
      <c r="G432" s="8"/>
      <c r="H432" s="8"/>
      <c r="I432" s="8"/>
      <c r="J432" s="9"/>
      <c r="K432" s="9"/>
      <c r="L432" s="9"/>
      <c r="M432" s="9"/>
      <c r="T432"/>
      <c r="XEQ432"/>
      <c r="XER432"/>
      <c r="XES432"/>
      <c r="XET432"/>
      <c r="XEU432"/>
      <c r="XEV432"/>
      <c r="XEW432"/>
      <c r="XEX432"/>
      <c r="XEY432"/>
      <c r="XEZ432"/>
      <c r="XFA432"/>
      <c r="XFB432"/>
      <c r="XFC432"/>
      <c r="XFD432"/>
    </row>
    <row r="433" spans="1:20 16371:16384" s="2" customFormat="1">
      <c r="A433" s="3"/>
      <c r="B433" s="4"/>
      <c r="C433" s="5"/>
      <c r="D433" s="15"/>
      <c r="E433" s="16"/>
      <c r="F433" s="3"/>
      <c r="G433" s="8"/>
      <c r="H433" s="8"/>
      <c r="I433" s="8"/>
      <c r="J433" s="9"/>
      <c r="K433" s="9"/>
      <c r="L433" s="9"/>
      <c r="M433" s="9"/>
      <c r="T433"/>
      <c r="XEQ433"/>
      <c r="XER433"/>
      <c r="XES433"/>
      <c r="XET433"/>
      <c r="XEU433"/>
      <c r="XEV433"/>
      <c r="XEW433"/>
      <c r="XEX433"/>
      <c r="XEY433"/>
      <c r="XEZ433"/>
      <c r="XFA433"/>
      <c r="XFB433"/>
      <c r="XFC433"/>
      <c r="XFD433"/>
    </row>
    <row r="434" spans="1:20 16371:16384" s="2" customFormat="1">
      <c r="A434" s="3"/>
      <c r="B434" s="4"/>
      <c r="C434" s="5"/>
      <c r="D434" s="15"/>
      <c r="E434" s="16"/>
      <c r="F434" s="3"/>
      <c r="G434" s="8"/>
      <c r="H434" s="8"/>
      <c r="I434" s="8"/>
      <c r="J434" s="9"/>
      <c r="K434" s="9"/>
      <c r="L434" s="9"/>
      <c r="M434" s="9"/>
      <c r="T434"/>
      <c r="XEQ434"/>
      <c r="XER434"/>
      <c r="XES434"/>
      <c r="XET434"/>
      <c r="XEU434"/>
      <c r="XEV434"/>
      <c r="XEW434"/>
      <c r="XEX434"/>
      <c r="XEY434"/>
      <c r="XEZ434"/>
      <c r="XFA434"/>
      <c r="XFB434"/>
      <c r="XFC434"/>
      <c r="XFD434"/>
    </row>
    <row r="435" spans="1:20 16371:16384" s="2" customFormat="1">
      <c r="A435" s="3"/>
      <c r="B435" s="4"/>
      <c r="C435" s="5"/>
      <c r="D435" s="15"/>
      <c r="E435" s="16"/>
      <c r="F435" s="3"/>
      <c r="G435" s="8"/>
      <c r="H435" s="8"/>
      <c r="I435" s="8"/>
      <c r="J435" s="9"/>
      <c r="K435" s="9"/>
      <c r="L435" s="9"/>
      <c r="M435" s="9"/>
      <c r="T435"/>
      <c r="XEQ435"/>
      <c r="XER435"/>
      <c r="XES435"/>
      <c r="XET435"/>
      <c r="XEU435"/>
      <c r="XEV435"/>
      <c r="XEW435"/>
      <c r="XEX435"/>
      <c r="XEY435"/>
      <c r="XEZ435"/>
      <c r="XFA435"/>
      <c r="XFB435"/>
      <c r="XFC435"/>
      <c r="XFD435"/>
    </row>
    <row r="436" spans="1:20 16371:16384" s="2" customFormat="1">
      <c r="A436" s="3"/>
      <c r="B436" s="4"/>
      <c r="C436" s="5"/>
      <c r="D436" s="15"/>
      <c r="E436" s="16"/>
      <c r="F436" s="3"/>
      <c r="G436" s="8"/>
      <c r="H436" s="8"/>
      <c r="I436" s="8"/>
      <c r="J436" s="9"/>
      <c r="K436" s="9"/>
      <c r="L436" s="9"/>
      <c r="M436" s="9"/>
      <c r="T436"/>
      <c r="XEQ436"/>
      <c r="XER436"/>
      <c r="XES436"/>
      <c r="XET436"/>
      <c r="XEU436"/>
      <c r="XEV436"/>
      <c r="XEW436"/>
      <c r="XEX436"/>
      <c r="XEY436"/>
      <c r="XEZ436"/>
      <c r="XFA436"/>
      <c r="XFB436"/>
      <c r="XFC436"/>
      <c r="XFD436"/>
    </row>
    <row r="437" spans="1:20 16371:16384" s="2" customFormat="1">
      <c r="A437" s="3"/>
      <c r="B437" s="4"/>
      <c r="C437" s="5"/>
      <c r="D437" s="15"/>
      <c r="E437" s="16"/>
      <c r="F437" s="3"/>
      <c r="G437" s="8"/>
      <c r="H437" s="8"/>
      <c r="I437" s="8"/>
      <c r="J437" s="9"/>
      <c r="K437" s="9"/>
      <c r="L437" s="9"/>
      <c r="M437" s="9"/>
      <c r="T437"/>
      <c r="XEQ437"/>
      <c r="XER437"/>
      <c r="XES437"/>
      <c r="XET437"/>
      <c r="XEU437"/>
      <c r="XEV437"/>
      <c r="XEW437"/>
      <c r="XEX437"/>
      <c r="XEY437"/>
      <c r="XEZ437"/>
      <c r="XFA437"/>
      <c r="XFB437"/>
      <c r="XFC437"/>
      <c r="XFD437"/>
    </row>
    <row r="438" spans="1:20 16371:16384" s="2" customFormat="1">
      <c r="A438" s="3"/>
      <c r="B438" s="4"/>
      <c r="C438" s="5"/>
      <c r="D438" s="15"/>
      <c r="E438" s="16"/>
      <c r="F438" s="3"/>
      <c r="G438" s="8"/>
      <c r="H438" s="8"/>
      <c r="I438" s="8"/>
      <c r="J438" s="9"/>
      <c r="K438" s="9"/>
      <c r="L438" s="9"/>
      <c r="M438" s="9"/>
      <c r="T438"/>
      <c r="XEQ438"/>
      <c r="XER438"/>
      <c r="XES438"/>
      <c r="XET438"/>
      <c r="XEU438"/>
      <c r="XEV438"/>
      <c r="XEW438"/>
      <c r="XEX438"/>
      <c r="XEY438"/>
      <c r="XEZ438"/>
      <c r="XFA438"/>
      <c r="XFB438"/>
      <c r="XFC438"/>
      <c r="XFD438"/>
    </row>
    <row r="439" spans="1:20 16371:16384" s="2" customFormat="1">
      <c r="A439" s="3"/>
      <c r="B439" s="4"/>
      <c r="C439" s="5"/>
      <c r="D439" s="15"/>
      <c r="E439" s="16"/>
      <c r="F439" s="3"/>
      <c r="G439" s="8"/>
      <c r="H439" s="8"/>
      <c r="I439" s="8"/>
      <c r="J439" s="9"/>
      <c r="K439" s="9"/>
      <c r="L439" s="9"/>
      <c r="M439" s="9"/>
      <c r="T439"/>
      <c r="XEQ439"/>
      <c r="XER439"/>
      <c r="XES439"/>
      <c r="XET439"/>
      <c r="XEU439"/>
      <c r="XEV439"/>
      <c r="XEW439"/>
      <c r="XEX439"/>
      <c r="XEY439"/>
      <c r="XEZ439"/>
      <c r="XFA439"/>
      <c r="XFB439"/>
      <c r="XFC439"/>
      <c r="XFD439"/>
    </row>
    <row r="440" spans="1:20 16371:16384" s="2" customFormat="1">
      <c r="A440" s="3"/>
      <c r="B440" s="4"/>
      <c r="C440" s="5"/>
      <c r="D440" s="15"/>
      <c r="E440" s="16"/>
      <c r="F440" s="3"/>
      <c r="G440" s="8"/>
      <c r="H440" s="8"/>
      <c r="I440" s="8"/>
      <c r="J440" s="9"/>
      <c r="K440" s="9"/>
      <c r="L440" s="9"/>
      <c r="M440" s="9"/>
      <c r="T440"/>
      <c r="XEQ440"/>
      <c r="XER440"/>
      <c r="XES440"/>
      <c r="XET440"/>
      <c r="XEU440"/>
      <c r="XEV440"/>
      <c r="XEW440"/>
      <c r="XEX440"/>
      <c r="XEY440"/>
      <c r="XEZ440"/>
      <c r="XFA440"/>
      <c r="XFB440"/>
      <c r="XFC440"/>
      <c r="XFD440"/>
    </row>
    <row r="441" spans="1:20 16371:16384" s="2" customFormat="1">
      <c r="A441" s="3"/>
      <c r="B441" s="4"/>
      <c r="C441" s="5"/>
      <c r="D441" s="15"/>
      <c r="E441" s="16"/>
      <c r="F441" s="3"/>
      <c r="G441" s="8"/>
      <c r="H441" s="8"/>
      <c r="I441" s="8"/>
      <c r="J441" s="9"/>
      <c r="K441" s="9"/>
      <c r="L441" s="9"/>
      <c r="M441" s="9"/>
      <c r="T441"/>
      <c r="XEQ441"/>
      <c r="XER441"/>
      <c r="XES441"/>
      <c r="XET441"/>
      <c r="XEU441"/>
      <c r="XEV441"/>
      <c r="XEW441"/>
      <c r="XEX441"/>
      <c r="XEY441"/>
      <c r="XEZ441"/>
      <c r="XFA441"/>
      <c r="XFB441"/>
      <c r="XFC441"/>
      <c r="XFD441"/>
    </row>
    <row r="442" spans="1:20 16371:16384" s="2" customFormat="1">
      <c r="A442" s="3"/>
      <c r="B442" s="4"/>
      <c r="C442" s="5"/>
      <c r="D442" s="15"/>
      <c r="E442" s="16"/>
      <c r="F442" s="3"/>
      <c r="G442" s="8"/>
      <c r="H442" s="8"/>
      <c r="I442" s="8"/>
      <c r="J442" s="9"/>
      <c r="K442" s="9"/>
      <c r="L442" s="9"/>
      <c r="M442" s="9"/>
      <c r="T442"/>
      <c r="XEQ442"/>
      <c r="XER442"/>
      <c r="XES442"/>
      <c r="XET442"/>
      <c r="XEU442"/>
      <c r="XEV442"/>
      <c r="XEW442"/>
      <c r="XEX442"/>
      <c r="XEY442"/>
      <c r="XEZ442"/>
      <c r="XFA442"/>
      <c r="XFB442"/>
      <c r="XFC442"/>
      <c r="XFD442"/>
    </row>
    <row r="443" spans="1:20 16371:16384" s="2" customFormat="1">
      <c r="A443" s="3"/>
      <c r="B443" s="4"/>
      <c r="C443" s="5"/>
      <c r="D443" s="15"/>
      <c r="E443" s="16"/>
      <c r="F443" s="3"/>
      <c r="G443" s="8"/>
      <c r="H443" s="8"/>
      <c r="I443" s="8"/>
      <c r="J443" s="9"/>
      <c r="K443" s="9"/>
      <c r="L443" s="9"/>
      <c r="M443" s="9"/>
      <c r="T443"/>
      <c r="XEQ443"/>
      <c r="XER443"/>
      <c r="XES443"/>
      <c r="XET443"/>
      <c r="XEU443"/>
      <c r="XEV443"/>
      <c r="XEW443"/>
      <c r="XEX443"/>
      <c r="XEY443"/>
      <c r="XEZ443"/>
      <c r="XFA443"/>
      <c r="XFB443"/>
      <c r="XFC443"/>
      <c r="XFD443"/>
    </row>
    <row r="444" spans="1:20 16371:16384" s="2" customFormat="1">
      <c r="A444" s="3"/>
      <c r="B444" s="4"/>
      <c r="C444" s="5"/>
      <c r="D444" s="15"/>
      <c r="E444" s="16"/>
      <c r="F444" s="3"/>
      <c r="G444" s="8"/>
      <c r="H444" s="8"/>
      <c r="I444" s="8"/>
      <c r="J444" s="9"/>
      <c r="K444" s="9"/>
      <c r="L444" s="9"/>
      <c r="M444" s="9"/>
      <c r="T444"/>
      <c r="XEQ444"/>
      <c r="XER444"/>
      <c r="XES444"/>
      <c r="XET444"/>
      <c r="XEU444"/>
      <c r="XEV444"/>
      <c r="XEW444"/>
      <c r="XEX444"/>
      <c r="XEY444"/>
      <c r="XEZ444"/>
      <c r="XFA444"/>
      <c r="XFB444"/>
      <c r="XFC444"/>
      <c r="XFD444"/>
    </row>
    <row r="445" spans="1:20 16371:16384" s="2" customFormat="1">
      <c r="A445" s="3"/>
      <c r="B445" s="4"/>
      <c r="C445" s="5"/>
      <c r="D445" s="15"/>
      <c r="E445" s="16"/>
      <c r="F445" s="3"/>
      <c r="G445" s="8"/>
      <c r="H445" s="8"/>
      <c r="I445" s="8"/>
      <c r="J445" s="9"/>
      <c r="K445" s="9"/>
      <c r="L445" s="9"/>
      <c r="M445" s="9"/>
      <c r="T445"/>
      <c r="XEQ445"/>
      <c r="XER445"/>
      <c r="XES445"/>
      <c r="XET445"/>
      <c r="XEU445"/>
      <c r="XEV445"/>
      <c r="XEW445"/>
      <c r="XEX445"/>
      <c r="XEY445"/>
      <c r="XEZ445"/>
      <c r="XFA445"/>
      <c r="XFB445"/>
      <c r="XFC445"/>
      <c r="XFD445"/>
    </row>
    <row r="446" spans="1:20 16371:16384" s="2" customFormat="1">
      <c r="A446" s="3"/>
      <c r="B446" s="4"/>
      <c r="C446" s="5"/>
      <c r="D446" s="15"/>
      <c r="E446" s="16"/>
      <c r="F446" s="3"/>
      <c r="G446" s="8"/>
      <c r="H446" s="8"/>
      <c r="I446" s="8"/>
      <c r="J446" s="9"/>
      <c r="K446" s="9"/>
      <c r="L446" s="9"/>
      <c r="M446" s="9"/>
      <c r="T446"/>
      <c r="XEQ446"/>
      <c r="XER446"/>
      <c r="XES446"/>
      <c r="XET446"/>
      <c r="XEU446"/>
      <c r="XEV446"/>
      <c r="XEW446"/>
      <c r="XEX446"/>
      <c r="XEY446"/>
      <c r="XEZ446"/>
      <c r="XFA446"/>
      <c r="XFB446"/>
      <c r="XFC446"/>
      <c r="XFD446"/>
    </row>
    <row r="447" spans="1:20 16371:16384" s="2" customFormat="1">
      <c r="A447" s="3"/>
      <c r="B447" s="4"/>
      <c r="C447" s="5"/>
      <c r="D447" s="15"/>
      <c r="E447" s="16"/>
      <c r="F447" s="3"/>
      <c r="G447" s="8"/>
      <c r="H447" s="8"/>
      <c r="I447" s="8"/>
      <c r="J447" s="9"/>
      <c r="K447" s="9"/>
      <c r="L447" s="9"/>
      <c r="M447" s="9"/>
      <c r="T447"/>
      <c r="XEQ447"/>
      <c r="XER447"/>
      <c r="XES447"/>
      <c r="XET447"/>
      <c r="XEU447"/>
      <c r="XEV447"/>
      <c r="XEW447"/>
      <c r="XEX447"/>
      <c r="XEY447"/>
      <c r="XEZ447"/>
      <c r="XFA447"/>
      <c r="XFB447"/>
      <c r="XFC447"/>
      <c r="XFD447"/>
    </row>
    <row r="448" spans="1:20 16371:16384" s="2" customFormat="1">
      <c r="A448" s="3"/>
      <c r="B448" s="4"/>
      <c r="C448" s="5"/>
      <c r="D448" s="15"/>
      <c r="E448" s="16"/>
      <c r="F448" s="3"/>
      <c r="G448" s="8"/>
      <c r="H448" s="8"/>
      <c r="I448" s="8"/>
      <c r="J448" s="9"/>
      <c r="K448" s="9"/>
      <c r="L448" s="9"/>
      <c r="M448" s="9"/>
      <c r="T448"/>
      <c r="XEQ448"/>
      <c r="XER448"/>
      <c r="XES448"/>
      <c r="XET448"/>
      <c r="XEU448"/>
      <c r="XEV448"/>
      <c r="XEW448"/>
      <c r="XEX448"/>
      <c r="XEY448"/>
      <c r="XEZ448"/>
      <c r="XFA448"/>
      <c r="XFB448"/>
      <c r="XFC448"/>
      <c r="XFD448"/>
    </row>
    <row r="449" spans="1:20 16371:16384" s="2" customFormat="1">
      <c r="A449" s="3"/>
      <c r="B449" s="4"/>
      <c r="C449" s="5"/>
      <c r="D449" s="15"/>
      <c r="E449" s="16"/>
      <c r="F449" s="3"/>
      <c r="G449" s="8"/>
      <c r="H449" s="8"/>
      <c r="I449" s="8"/>
      <c r="J449" s="9"/>
      <c r="K449" s="9"/>
      <c r="L449" s="9"/>
      <c r="M449" s="9"/>
      <c r="T449"/>
      <c r="XEQ449"/>
      <c r="XER449"/>
      <c r="XES449"/>
      <c r="XET449"/>
      <c r="XEU449"/>
      <c r="XEV449"/>
      <c r="XEW449"/>
      <c r="XEX449"/>
      <c r="XEY449"/>
      <c r="XEZ449"/>
      <c r="XFA449"/>
      <c r="XFB449"/>
      <c r="XFC449"/>
      <c r="XFD449"/>
    </row>
    <row r="450" spans="1:20 16371:16384" s="2" customFormat="1">
      <c r="A450" s="3"/>
      <c r="B450" s="4"/>
      <c r="C450" s="5"/>
      <c r="D450" s="15"/>
      <c r="E450" s="16"/>
      <c r="F450" s="3"/>
      <c r="G450" s="8"/>
      <c r="H450" s="8"/>
      <c r="I450" s="8"/>
      <c r="J450" s="9"/>
      <c r="K450" s="9"/>
      <c r="L450" s="9"/>
      <c r="M450" s="9"/>
      <c r="T450"/>
      <c r="XEQ450"/>
      <c r="XER450"/>
      <c r="XES450"/>
      <c r="XET450"/>
      <c r="XEU450"/>
      <c r="XEV450"/>
      <c r="XEW450"/>
      <c r="XEX450"/>
      <c r="XEY450"/>
      <c r="XEZ450"/>
      <c r="XFA450"/>
      <c r="XFB450"/>
      <c r="XFC450"/>
      <c r="XFD450"/>
    </row>
    <row r="451" spans="1:20 16371:16384" s="2" customFormat="1">
      <c r="A451" s="3"/>
      <c r="B451" s="4"/>
      <c r="C451" s="5"/>
      <c r="D451" s="15"/>
      <c r="E451" s="16"/>
      <c r="F451" s="3"/>
      <c r="G451" s="8"/>
      <c r="H451" s="8"/>
      <c r="I451" s="8"/>
      <c r="J451" s="9"/>
      <c r="K451" s="9"/>
      <c r="L451" s="9"/>
      <c r="M451" s="9"/>
      <c r="T451"/>
      <c r="XEQ451"/>
      <c r="XER451"/>
      <c r="XES451"/>
      <c r="XET451"/>
      <c r="XEU451"/>
      <c r="XEV451"/>
      <c r="XEW451"/>
      <c r="XEX451"/>
      <c r="XEY451"/>
      <c r="XEZ451"/>
      <c r="XFA451"/>
      <c r="XFB451"/>
      <c r="XFC451"/>
      <c r="XFD451"/>
    </row>
    <row r="452" spans="1:20 16371:16384" s="2" customFormat="1">
      <c r="A452" s="3"/>
      <c r="B452" s="4"/>
      <c r="C452" s="5"/>
      <c r="D452" s="15"/>
      <c r="E452" s="16"/>
      <c r="F452" s="3"/>
      <c r="G452" s="8"/>
      <c r="H452" s="8"/>
      <c r="I452" s="8"/>
      <c r="J452" s="9"/>
      <c r="K452" s="9"/>
      <c r="L452" s="9"/>
      <c r="M452" s="9"/>
      <c r="T452"/>
      <c r="XEQ452"/>
      <c r="XER452"/>
      <c r="XES452"/>
      <c r="XET452"/>
      <c r="XEU452"/>
      <c r="XEV452"/>
      <c r="XEW452"/>
      <c r="XEX452"/>
      <c r="XEY452"/>
      <c r="XEZ452"/>
      <c r="XFA452"/>
      <c r="XFB452"/>
      <c r="XFC452"/>
      <c r="XFD452"/>
    </row>
    <row r="453" spans="1:20 16371:16384" s="2" customFormat="1">
      <c r="A453" s="3"/>
      <c r="B453" s="4"/>
      <c r="C453" s="5"/>
      <c r="D453" s="15"/>
      <c r="E453" s="16"/>
      <c r="F453" s="3"/>
      <c r="G453" s="8"/>
      <c r="H453" s="8"/>
      <c r="I453" s="8"/>
      <c r="J453" s="9"/>
      <c r="K453" s="9"/>
      <c r="L453" s="9"/>
      <c r="M453" s="9"/>
      <c r="T453"/>
      <c r="XEQ453"/>
      <c r="XER453"/>
      <c r="XES453"/>
      <c r="XET453"/>
      <c r="XEU453"/>
      <c r="XEV453"/>
      <c r="XEW453"/>
      <c r="XEX453"/>
      <c r="XEY453"/>
      <c r="XEZ453"/>
      <c r="XFA453"/>
      <c r="XFB453"/>
      <c r="XFC453"/>
      <c r="XFD453"/>
    </row>
    <row r="454" spans="1:20 16371:16384" s="2" customFormat="1">
      <c r="A454" s="3"/>
      <c r="B454" s="4"/>
      <c r="C454" s="5"/>
      <c r="D454" s="15"/>
      <c r="E454" s="16"/>
      <c r="F454" s="3"/>
      <c r="G454" s="8"/>
      <c r="H454" s="8"/>
      <c r="I454" s="8"/>
      <c r="J454" s="9"/>
      <c r="K454" s="9"/>
      <c r="L454" s="9"/>
      <c r="M454" s="9"/>
      <c r="T454"/>
      <c r="XEQ454"/>
      <c r="XER454"/>
      <c r="XES454"/>
      <c r="XET454"/>
      <c r="XEU454"/>
      <c r="XEV454"/>
      <c r="XEW454"/>
      <c r="XEX454"/>
      <c r="XEY454"/>
      <c r="XEZ454"/>
      <c r="XFA454"/>
      <c r="XFB454"/>
      <c r="XFC454"/>
      <c r="XFD454"/>
    </row>
    <row r="455" spans="1:20 16371:16384" s="2" customFormat="1">
      <c r="A455" s="3"/>
      <c r="B455" s="4"/>
      <c r="C455" s="5"/>
      <c r="D455" s="15"/>
      <c r="E455" s="16"/>
      <c r="F455" s="3"/>
      <c r="G455" s="8"/>
      <c r="H455" s="8"/>
      <c r="I455" s="8"/>
      <c r="J455" s="9"/>
      <c r="K455" s="9"/>
      <c r="L455" s="9"/>
      <c r="M455" s="9"/>
      <c r="T455"/>
      <c r="XEQ455"/>
      <c r="XER455"/>
      <c r="XES455"/>
      <c r="XET455"/>
      <c r="XEU455"/>
      <c r="XEV455"/>
      <c r="XEW455"/>
      <c r="XEX455"/>
      <c r="XEY455"/>
      <c r="XEZ455"/>
      <c r="XFA455"/>
      <c r="XFB455"/>
      <c r="XFC455"/>
      <c r="XFD455"/>
    </row>
    <row r="456" spans="1:20 16371:16384" s="2" customFormat="1">
      <c r="A456" s="3"/>
      <c r="B456" s="4"/>
      <c r="C456" s="5"/>
      <c r="D456" s="15"/>
      <c r="E456" s="16"/>
      <c r="F456" s="3"/>
      <c r="G456" s="8"/>
      <c r="H456" s="8"/>
      <c r="I456" s="8"/>
      <c r="J456" s="9"/>
      <c r="K456" s="9"/>
      <c r="L456" s="9"/>
      <c r="M456" s="9"/>
      <c r="T456"/>
      <c r="XEQ456"/>
      <c r="XER456"/>
      <c r="XES456"/>
      <c r="XET456"/>
      <c r="XEU456"/>
      <c r="XEV456"/>
      <c r="XEW456"/>
      <c r="XEX456"/>
      <c r="XEY456"/>
      <c r="XEZ456"/>
      <c r="XFA456"/>
      <c r="XFB456"/>
      <c r="XFC456"/>
      <c r="XFD456"/>
    </row>
    <row r="457" spans="1:20 16371:16384" s="2" customFormat="1">
      <c r="A457" s="3"/>
      <c r="B457" s="4"/>
      <c r="C457" s="5"/>
      <c r="D457" s="15"/>
      <c r="E457" s="16"/>
      <c r="F457" s="3"/>
      <c r="G457" s="8"/>
      <c r="H457" s="8"/>
      <c r="I457" s="8"/>
      <c r="J457" s="9"/>
      <c r="K457" s="9"/>
      <c r="L457" s="9"/>
      <c r="M457" s="9"/>
      <c r="T457"/>
      <c r="XEQ457"/>
      <c r="XER457"/>
      <c r="XES457"/>
      <c r="XET457"/>
      <c r="XEU457"/>
      <c r="XEV457"/>
      <c r="XEW457"/>
      <c r="XEX457"/>
      <c r="XEY457"/>
      <c r="XEZ457"/>
      <c r="XFA457"/>
      <c r="XFB457"/>
      <c r="XFC457"/>
      <c r="XFD457"/>
    </row>
    <row r="458" spans="1:20 16371:16384" s="2" customFormat="1">
      <c r="A458" s="3"/>
      <c r="B458" s="4"/>
      <c r="C458" s="5"/>
      <c r="D458" s="15"/>
      <c r="E458" s="16"/>
      <c r="F458" s="3"/>
      <c r="G458" s="8"/>
      <c r="H458" s="8"/>
      <c r="I458" s="8"/>
      <c r="J458" s="9"/>
      <c r="K458" s="9"/>
      <c r="L458" s="9"/>
      <c r="M458" s="9"/>
      <c r="T458"/>
      <c r="XEQ458"/>
      <c r="XER458"/>
      <c r="XES458"/>
      <c r="XET458"/>
      <c r="XEU458"/>
      <c r="XEV458"/>
      <c r="XEW458"/>
      <c r="XEX458"/>
      <c r="XEY458"/>
      <c r="XEZ458"/>
      <c r="XFA458"/>
      <c r="XFB458"/>
      <c r="XFC458"/>
      <c r="XFD458"/>
    </row>
    <row r="459" spans="1:20 16371:16384" s="2" customFormat="1">
      <c r="A459" s="3"/>
      <c r="B459" s="4"/>
      <c r="C459" s="5"/>
      <c r="D459" s="15"/>
      <c r="E459" s="16"/>
      <c r="F459" s="3"/>
      <c r="G459" s="8"/>
      <c r="H459" s="8"/>
      <c r="I459" s="8"/>
      <c r="J459" s="9"/>
      <c r="K459" s="9"/>
      <c r="L459" s="9"/>
      <c r="M459" s="9"/>
      <c r="T459"/>
      <c r="XEQ459"/>
      <c r="XER459"/>
      <c r="XES459"/>
      <c r="XET459"/>
      <c r="XEU459"/>
      <c r="XEV459"/>
      <c r="XEW459"/>
      <c r="XEX459"/>
      <c r="XEY459"/>
      <c r="XEZ459"/>
      <c r="XFA459"/>
      <c r="XFB459"/>
      <c r="XFC459"/>
      <c r="XFD459"/>
    </row>
    <row r="460" spans="1:20 16371:16384" s="2" customFormat="1">
      <c r="A460" s="3"/>
      <c r="B460" s="4"/>
      <c r="C460" s="5"/>
      <c r="D460" s="15"/>
      <c r="E460" s="16"/>
      <c r="F460" s="3"/>
      <c r="G460" s="8"/>
      <c r="H460" s="8"/>
      <c r="I460" s="8"/>
      <c r="J460" s="9"/>
      <c r="K460" s="9"/>
      <c r="L460" s="9"/>
      <c r="M460" s="9"/>
      <c r="T460"/>
      <c r="XEQ460"/>
      <c r="XER460"/>
      <c r="XES460"/>
      <c r="XET460"/>
      <c r="XEU460"/>
      <c r="XEV460"/>
      <c r="XEW460"/>
      <c r="XEX460"/>
      <c r="XEY460"/>
      <c r="XEZ460"/>
      <c r="XFA460"/>
      <c r="XFB460"/>
      <c r="XFC460"/>
      <c r="XFD460"/>
    </row>
    <row r="461" spans="1:20 16371:16384" s="2" customFormat="1">
      <c r="A461" s="3"/>
      <c r="B461" s="4"/>
      <c r="C461" s="5"/>
      <c r="D461" s="15"/>
      <c r="E461" s="16"/>
      <c r="F461" s="3"/>
      <c r="G461" s="8"/>
      <c r="H461" s="8"/>
      <c r="I461" s="8"/>
      <c r="J461" s="9"/>
      <c r="K461" s="9"/>
      <c r="L461" s="9"/>
      <c r="M461" s="9"/>
      <c r="T461"/>
      <c r="XEQ461"/>
      <c r="XER461"/>
      <c r="XES461"/>
      <c r="XET461"/>
      <c r="XEU461"/>
      <c r="XEV461"/>
      <c r="XEW461"/>
      <c r="XEX461"/>
      <c r="XEY461"/>
      <c r="XEZ461"/>
      <c r="XFA461"/>
      <c r="XFB461"/>
      <c r="XFC461"/>
      <c r="XFD461"/>
    </row>
    <row r="462" spans="1:20 16371:16384" s="2" customFormat="1">
      <c r="A462" s="3"/>
      <c r="B462" s="4"/>
      <c r="C462" s="5"/>
      <c r="D462" s="15"/>
      <c r="E462" s="16"/>
      <c r="F462" s="3"/>
      <c r="G462" s="8"/>
      <c r="H462" s="8"/>
      <c r="I462" s="8"/>
      <c r="J462" s="9"/>
      <c r="K462" s="9"/>
      <c r="L462" s="9"/>
      <c r="M462" s="9"/>
      <c r="T462"/>
      <c r="XEQ462"/>
      <c r="XER462"/>
      <c r="XES462"/>
      <c r="XET462"/>
      <c r="XEU462"/>
      <c r="XEV462"/>
      <c r="XEW462"/>
      <c r="XEX462"/>
      <c r="XEY462"/>
      <c r="XEZ462"/>
      <c r="XFA462"/>
      <c r="XFB462"/>
      <c r="XFC462"/>
      <c r="XFD462"/>
    </row>
    <row r="463" spans="1:20 16371:16384" s="2" customFormat="1">
      <c r="A463" s="3"/>
      <c r="B463" s="4"/>
      <c r="C463" s="5"/>
      <c r="D463" s="15"/>
      <c r="E463" s="16"/>
      <c r="F463" s="3"/>
      <c r="G463" s="8"/>
      <c r="H463" s="8"/>
      <c r="I463" s="8"/>
      <c r="J463" s="9"/>
      <c r="K463" s="9"/>
      <c r="L463" s="9"/>
      <c r="M463" s="9"/>
      <c r="T463"/>
      <c r="XEQ463"/>
      <c r="XER463"/>
      <c r="XES463"/>
      <c r="XET463"/>
      <c r="XEU463"/>
      <c r="XEV463"/>
      <c r="XEW463"/>
      <c r="XEX463"/>
      <c r="XEY463"/>
      <c r="XEZ463"/>
      <c r="XFA463"/>
      <c r="XFB463"/>
      <c r="XFC463"/>
      <c r="XFD463"/>
    </row>
    <row r="464" spans="1:20 16371:16384" s="2" customFormat="1">
      <c r="A464" s="3"/>
      <c r="B464" s="4"/>
      <c r="C464" s="5"/>
      <c r="D464" s="15"/>
      <c r="E464" s="16"/>
      <c r="F464" s="3"/>
      <c r="G464" s="8"/>
      <c r="H464" s="8"/>
      <c r="I464" s="8"/>
      <c r="J464" s="9"/>
      <c r="K464" s="9"/>
      <c r="L464" s="9"/>
      <c r="M464" s="9"/>
      <c r="T464"/>
      <c r="XEQ464"/>
      <c r="XER464"/>
      <c r="XES464"/>
      <c r="XET464"/>
      <c r="XEU464"/>
      <c r="XEV464"/>
      <c r="XEW464"/>
      <c r="XEX464"/>
      <c r="XEY464"/>
      <c r="XEZ464"/>
      <c r="XFA464"/>
      <c r="XFB464"/>
      <c r="XFC464"/>
      <c r="XFD464"/>
    </row>
    <row r="465" spans="1:20 16371:16384" s="2" customFormat="1">
      <c r="A465" s="3"/>
      <c r="B465" s="4"/>
      <c r="C465" s="5"/>
      <c r="D465" s="15"/>
      <c r="E465" s="16"/>
      <c r="F465" s="3"/>
      <c r="G465" s="8"/>
      <c r="H465" s="8"/>
      <c r="I465" s="8"/>
      <c r="J465" s="9"/>
      <c r="K465" s="9"/>
      <c r="L465" s="9"/>
      <c r="M465" s="9"/>
      <c r="T465"/>
      <c r="XEQ465"/>
      <c r="XER465"/>
      <c r="XES465"/>
      <c r="XET465"/>
      <c r="XEU465"/>
      <c r="XEV465"/>
      <c r="XEW465"/>
      <c r="XEX465"/>
      <c r="XEY465"/>
      <c r="XEZ465"/>
      <c r="XFA465"/>
      <c r="XFB465"/>
      <c r="XFC465"/>
      <c r="XFD465"/>
    </row>
    <row r="466" spans="1:20 16371:16384" s="2" customFormat="1">
      <c r="A466" s="3"/>
      <c r="B466" s="4"/>
      <c r="C466" s="5"/>
      <c r="D466" s="15"/>
      <c r="E466" s="16"/>
      <c r="F466" s="3"/>
      <c r="G466" s="8"/>
      <c r="H466" s="8"/>
      <c r="I466" s="8"/>
      <c r="J466" s="9"/>
      <c r="K466" s="9"/>
      <c r="L466" s="9"/>
      <c r="M466" s="9"/>
      <c r="T466"/>
      <c r="XEQ466"/>
      <c r="XER466"/>
      <c r="XES466"/>
      <c r="XET466"/>
      <c r="XEU466"/>
      <c r="XEV466"/>
      <c r="XEW466"/>
      <c r="XEX466"/>
      <c r="XEY466"/>
      <c r="XEZ466"/>
      <c r="XFA466"/>
      <c r="XFB466"/>
      <c r="XFC466"/>
      <c r="XFD466"/>
    </row>
    <row r="467" spans="1:20 16371:16384" s="2" customFormat="1">
      <c r="A467" s="3"/>
      <c r="B467" s="4"/>
      <c r="C467" s="5"/>
      <c r="D467" s="15"/>
      <c r="E467" s="16"/>
      <c r="F467" s="3"/>
      <c r="G467" s="8"/>
      <c r="H467" s="8"/>
      <c r="I467" s="8"/>
      <c r="J467" s="9"/>
      <c r="K467" s="9"/>
      <c r="L467" s="9"/>
      <c r="M467" s="9"/>
      <c r="T467"/>
      <c r="XEQ467"/>
      <c r="XER467"/>
      <c r="XES467"/>
      <c r="XET467"/>
      <c r="XEU467"/>
      <c r="XEV467"/>
      <c r="XEW467"/>
      <c r="XEX467"/>
      <c r="XEY467"/>
      <c r="XEZ467"/>
      <c r="XFA467"/>
      <c r="XFB467"/>
      <c r="XFC467"/>
      <c r="XFD467"/>
    </row>
    <row r="468" spans="1:20 16371:16384" s="2" customFormat="1">
      <c r="A468" s="3"/>
      <c r="B468" s="4"/>
      <c r="C468" s="5"/>
      <c r="D468" s="15"/>
      <c r="E468" s="16"/>
      <c r="F468" s="3"/>
      <c r="G468" s="8"/>
      <c r="H468" s="8"/>
      <c r="I468" s="8"/>
      <c r="J468" s="9"/>
      <c r="K468" s="9"/>
      <c r="L468" s="9"/>
      <c r="M468" s="9"/>
      <c r="T468"/>
      <c r="XEQ468"/>
      <c r="XER468"/>
      <c r="XES468"/>
      <c r="XET468"/>
      <c r="XEU468"/>
      <c r="XEV468"/>
      <c r="XEW468"/>
      <c r="XEX468"/>
      <c r="XEY468"/>
      <c r="XEZ468"/>
      <c r="XFA468"/>
      <c r="XFB468"/>
      <c r="XFC468"/>
      <c r="XFD468"/>
    </row>
    <row r="469" spans="1:20 16371:16384" s="2" customFormat="1">
      <c r="A469" s="3"/>
      <c r="B469" s="4"/>
      <c r="C469" s="5"/>
      <c r="D469" s="15"/>
      <c r="E469" s="16"/>
      <c r="F469" s="3"/>
      <c r="G469" s="8"/>
      <c r="H469" s="8"/>
      <c r="I469" s="8"/>
      <c r="J469" s="9"/>
      <c r="K469" s="9"/>
      <c r="L469" s="9"/>
      <c r="M469" s="9"/>
      <c r="T469"/>
      <c r="XEQ469"/>
      <c r="XER469"/>
      <c r="XES469"/>
      <c r="XET469"/>
      <c r="XEU469"/>
      <c r="XEV469"/>
      <c r="XEW469"/>
      <c r="XEX469"/>
      <c r="XEY469"/>
      <c r="XEZ469"/>
      <c r="XFA469"/>
      <c r="XFB469"/>
      <c r="XFC469"/>
      <c r="XFD469"/>
    </row>
    <row r="470" spans="1:20 16371:16384" s="2" customFormat="1">
      <c r="A470" s="3"/>
      <c r="B470" s="4"/>
      <c r="C470" s="5"/>
      <c r="D470" s="15"/>
      <c r="E470" s="16"/>
      <c r="F470" s="3"/>
      <c r="G470" s="8"/>
      <c r="H470" s="8"/>
      <c r="I470" s="8"/>
      <c r="J470" s="9"/>
      <c r="K470" s="9"/>
      <c r="L470" s="9"/>
      <c r="M470" s="9"/>
      <c r="T470"/>
      <c r="XEQ470"/>
      <c r="XER470"/>
      <c r="XES470"/>
      <c r="XET470"/>
      <c r="XEU470"/>
      <c r="XEV470"/>
      <c r="XEW470"/>
      <c r="XEX470"/>
      <c r="XEY470"/>
      <c r="XEZ470"/>
      <c r="XFA470"/>
      <c r="XFB470"/>
      <c r="XFC470"/>
      <c r="XFD470"/>
    </row>
    <row r="471" spans="1:20 16371:16384" s="2" customFormat="1">
      <c r="A471" s="3"/>
      <c r="B471" s="4"/>
      <c r="C471" s="5"/>
      <c r="D471" s="15"/>
      <c r="E471" s="16"/>
      <c r="F471" s="3"/>
      <c r="G471" s="8"/>
      <c r="H471" s="8"/>
      <c r="I471" s="8"/>
      <c r="J471" s="9"/>
      <c r="K471" s="9"/>
      <c r="L471" s="9"/>
      <c r="M471" s="9"/>
      <c r="T471"/>
      <c r="XEQ471"/>
      <c r="XER471"/>
      <c r="XES471"/>
      <c r="XET471"/>
      <c r="XEU471"/>
      <c r="XEV471"/>
      <c r="XEW471"/>
      <c r="XEX471"/>
      <c r="XEY471"/>
      <c r="XEZ471"/>
      <c r="XFA471"/>
      <c r="XFB471"/>
      <c r="XFC471"/>
      <c r="XFD471"/>
    </row>
    <row r="472" spans="1:20 16371:16384" s="2" customFormat="1">
      <c r="A472" s="3"/>
      <c r="B472" s="4"/>
      <c r="C472" s="5"/>
      <c r="D472" s="15"/>
      <c r="E472" s="16"/>
      <c r="F472" s="3"/>
      <c r="G472" s="8"/>
      <c r="H472" s="8"/>
      <c r="I472" s="8"/>
      <c r="J472" s="9"/>
      <c r="K472" s="9"/>
      <c r="L472" s="9"/>
      <c r="M472" s="9"/>
      <c r="T472"/>
      <c r="XEQ472"/>
      <c r="XER472"/>
      <c r="XES472"/>
      <c r="XET472"/>
      <c r="XEU472"/>
      <c r="XEV472"/>
      <c r="XEW472"/>
      <c r="XEX472"/>
      <c r="XEY472"/>
      <c r="XEZ472"/>
      <c r="XFA472"/>
      <c r="XFB472"/>
      <c r="XFC472"/>
      <c r="XFD472"/>
    </row>
    <row r="473" spans="1:20 16371:16384" s="2" customFormat="1">
      <c r="A473" s="3"/>
      <c r="B473" s="4"/>
      <c r="C473" s="5"/>
      <c r="D473" s="15"/>
      <c r="E473" s="16"/>
      <c r="F473" s="3"/>
      <c r="G473" s="8"/>
      <c r="H473" s="8"/>
      <c r="I473" s="8"/>
      <c r="J473" s="9"/>
      <c r="K473" s="9"/>
      <c r="L473" s="9"/>
      <c r="M473" s="9"/>
      <c r="T473"/>
      <c r="XEQ473"/>
      <c r="XER473"/>
      <c r="XES473"/>
      <c r="XET473"/>
      <c r="XEU473"/>
      <c r="XEV473"/>
      <c r="XEW473"/>
      <c r="XEX473"/>
      <c r="XEY473"/>
      <c r="XEZ473"/>
      <c r="XFA473"/>
      <c r="XFB473"/>
      <c r="XFC473"/>
      <c r="XFD473"/>
    </row>
    <row r="474" spans="1:20 16371:16384" s="2" customFormat="1">
      <c r="A474" s="3"/>
      <c r="B474" s="4"/>
      <c r="C474" s="5"/>
      <c r="D474" s="15"/>
      <c r="E474" s="16"/>
      <c r="F474" s="3"/>
      <c r="G474" s="8"/>
      <c r="H474" s="8"/>
      <c r="I474" s="8"/>
      <c r="J474" s="9"/>
      <c r="K474" s="9"/>
      <c r="L474" s="9"/>
      <c r="M474" s="9"/>
      <c r="T474"/>
      <c r="XEQ474"/>
      <c r="XER474"/>
      <c r="XES474"/>
      <c r="XET474"/>
      <c r="XEU474"/>
      <c r="XEV474"/>
      <c r="XEW474"/>
      <c r="XEX474"/>
      <c r="XEY474"/>
      <c r="XEZ474"/>
      <c r="XFA474"/>
      <c r="XFB474"/>
      <c r="XFC474"/>
      <c r="XFD474"/>
    </row>
    <row r="475" spans="1:20 16371:16384" s="2" customFormat="1">
      <c r="A475" s="3"/>
      <c r="B475" s="4"/>
      <c r="C475" s="5"/>
      <c r="D475" s="15"/>
      <c r="E475" s="16"/>
      <c r="F475" s="3"/>
      <c r="G475" s="8"/>
      <c r="H475" s="8"/>
      <c r="I475" s="8"/>
      <c r="J475" s="9"/>
      <c r="K475" s="9"/>
      <c r="L475" s="9"/>
      <c r="M475" s="9"/>
      <c r="T475"/>
      <c r="XEQ475"/>
      <c r="XER475"/>
      <c r="XES475"/>
      <c r="XET475"/>
      <c r="XEU475"/>
      <c r="XEV475"/>
      <c r="XEW475"/>
      <c r="XEX475"/>
      <c r="XEY475"/>
      <c r="XEZ475"/>
      <c r="XFA475"/>
      <c r="XFB475"/>
      <c r="XFC475"/>
      <c r="XFD475"/>
    </row>
    <row r="476" spans="1:20 16371:16384" s="2" customFormat="1">
      <c r="A476" s="3"/>
      <c r="B476" s="4"/>
      <c r="C476" s="5"/>
      <c r="D476" s="15"/>
      <c r="E476" s="16"/>
      <c r="F476" s="3"/>
      <c r="G476" s="8"/>
      <c r="H476" s="8"/>
      <c r="I476" s="8"/>
      <c r="J476" s="9"/>
      <c r="K476" s="9"/>
      <c r="L476" s="9"/>
      <c r="M476" s="9"/>
      <c r="T476"/>
      <c r="XEQ476"/>
      <c r="XER476"/>
      <c r="XES476"/>
      <c r="XET476"/>
      <c r="XEU476"/>
      <c r="XEV476"/>
      <c r="XEW476"/>
      <c r="XEX476"/>
      <c r="XEY476"/>
      <c r="XEZ476"/>
      <c r="XFA476"/>
      <c r="XFB476"/>
      <c r="XFC476"/>
      <c r="XFD476"/>
    </row>
    <row r="477" spans="1:20 16371:16384" s="2" customFormat="1">
      <c r="A477" s="3"/>
      <c r="B477" s="4"/>
      <c r="C477" s="5"/>
      <c r="D477" s="15"/>
      <c r="E477" s="16"/>
      <c r="F477" s="3"/>
      <c r="G477" s="8"/>
      <c r="H477" s="8"/>
      <c r="I477" s="8"/>
      <c r="J477" s="9"/>
      <c r="K477" s="9"/>
      <c r="L477" s="9"/>
      <c r="M477" s="9"/>
      <c r="T477"/>
      <c r="XEQ477"/>
      <c r="XER477"/>
      <c r="XES477"/>
      <c r="XET477"/>
      <c r="XEU477"/>
      <c r="XEV477"/>
      <c r="XEW477"/>
      <c r="XEX477"/>
      <c r="XEY477"/>
      <c r="XEZ477"/>
      <c r="XFA477"/>
      <c r="XFB477"/>
      <c r="XFC477"/>
      <c r="XFD477"/>
    </row>
    <row r="478" spans="1:20 16371:16384" s="2" customFormat="1">
      <c r="A478" s="3"/>
      <c r="B478" s="4"/>
      <c r="C478" s="5"/>
      <c r="D478" s="15"/>
      <c r="E478" s="16"/>
      <c r="F478" s="3"/>
      <c r="G478" s="8"/>
      <c r="H478" s="8"/>
      <c r="I478" s="8"/>
      <c r="J478" s="9"/>
      <c r="K478" s="9"/>
      <c r="L478" s="9"/>
      <c r="M478" s="9"/>
      <c r="T478"/>
      <c r="XEQ478"/>
      <c r="XER478"/>
      <c r="XES478"/>
      <c r="XET478"/>
      <c r="XEU478"/>
      <c r="XEV478"/>
      <c r="XEW478"/>
      <c r="XEX478"/>
      <c r="XEY478"/>
      <c r="XEZ478"/>
      <c r="XFA478"/>
      <c r="XFB478"/>
      <c r="XFC478"/>
      <c r="XFD478"/>
    </row>
    <row r="479" spans="1:20 16371:16384" s="2" customFormat="1">
      <c r="A479" s="3"/>
      <c r="B479" s="4"/>
      <c r="C479" s="5"/>
      <c r="D479" s="15"/>
      <c r="E479" s="16"/>
      <c r="F479" s="3"/>
      <c r="G479" s="8"/>
      <c r="H479" s="8"/>
      <c r="I479" s="8"/>
      <c r="J479" s="9"/>
      <c r="K479" s="9"/>
      <c r="L479" s="9"/>
      <c r="M479" s="9"/>
      <c r="T479"/>
      <c r="XEQ479"/>
      <c r="XER479"/>
      <c r="XES479"/>
      <c r="XET479"/>
      <c r="XEU479"/>
      <c r="XEV479"/>
      <c r="XEW479"/>
      <c r="XEX479"/>
      <c r="XEY479"/>
      <c r="XEZ479"/>
      <c r="XFA479"/>
      <c r="XFB479"/>
      <c r="XFC479"/>
      <c r="XFD479"/>
    </row>
    <row r="480" spans="1:20 16371:16384" s="2" customFormat="1">
      <c r="A480" s="3"/>
      <c r="B480" s="4"/>
      <c r="C480" s="5"/>
      <c r="D480" s="15"/>
      <c r="E480" s="16"/>
      <c r="F480" s="3"/>
      <c r="G480" s="8"/>
      <c r="H480" s="8"/>
      <c r="I480" s="8"/>
      <c r="J480" s="9"/>
      <c r="K480" s="9"/>
      <c r="L480" s="9"/>
      <c r="M480" s="9"/>
      <c r="T480"/>
      <c r="XEQ480"/>
      <c r="XER480"/>
      <c r="XES480"/>
      <c r="XET480"/>
      <c r="XEU480"/>
      <c r="XEV480"/>
      <c r="XEW480"/>
      <c r="XEX480"/>
      <c r="XEY480"/>
      <c r="XEZ480"/>
      <c r="XFA480"/>
      <c r="XFB480"/>
      <c r="XFC480"/>
      <c r="XFD480"/>
    </row>
    <row r="481" spans="1:20 16371:16384" s="2" customFormat="1">
      <c r="A481" s="3"/>
      <c r="B481" s="4"/>
      <c r="C481" s="5"/>
      <c r="D481" s="15"/>
      <c r="E481" s="16"/>
      <c r="F481" s="3"/>
      <c r="G481" s="8"/>
      <c r="H481" s="8"/>
      <c r="I481" s="8"/>
      <c r="J481" s="9"/>
      <c r="K481" s="9"/>
      <c r="L481" s="9"/>
      <c r="M481" s="9"/>
      <c r="T481"/>
      <c r="XEQ481"/>
      <c r="XER481"/>
      <c r="XES481"/>
      <c r="XET481"/>
      <c r="XEU481"/>
      <c r="XEV481"/>
      <c r="XEW481"/>
      <c r="XEX481"/>
      <c r="XEY481"/>
      <c r="XEZ481"/>
      <c r="XFA481"/>
      <c r="XFB481"/>
      <c r="XFC481"/>
      <c r="XFD481"/>
    </row>
    <row r="482" spans="1:20 16371:16384" s="2" customFormat="1">
      <c r="A482" s="3"/>
      <c r="B482" s="4"/>
      <c r="C482" s="5"/>
      <c r="D482" s="15"/>
      <c r="E482" s="16"/>
      <c r="F482" s="3"/>
      <c r="G482" s="8"/>
      <c r="H482" s="8"/>
      <c r="I482" s="8"/>
      <c r="J482" s="9"/>
      <c r="K482" s="9"/>
      <c r="L482" s="9"/>
      <c r="M482" s="9"/>
      <c r="T482"/>
      <c r="XEQ482"/>
      <c r="XER482"/>
      <c r="XES482"/>
      <c r="XET482"/>
      <c r="XEU482"/>
      <c r="XEV482"/>
      <c r="XEW482"/>
      <c r="XEX482"/>
      <c r="XEY482"/>
      <c r="XEZ482"/>
      <c r="XFA482"/>
      <c r="XFB482"/>
      <c r="XFC482"/>
      <c r="XFD482"/>
    </row>
    <row r="483" spans="1:20 16371:16384" s="2" customFormat="1">
      <c r="A483" s="3"/>
      <c r="B483" s="4"/>
      <c r="C483" s="5"/>
      <c r="D483" s="15"/>
      <c r="E483" s="16"/>
      <c r="F483" s="3"/>
      <c r="G483" s="8"/>
      <c r="H483" s="8"/>
      <c r="I483" s="8"/>
      <c r="J483" s="9"/>
      <c r="K483" s="9"/>
      <c r="L483" s="9"/>
      <c r="M483" s="9"/>
      <c r="T483"/>
      <c r="XEQ483"/>
      <c r="XER483"/>
      <c r="XES483"/>
      <c r="XET483"/>
      <c r="XEU483"/>
      <c r="XEV483"/>
      <c r="XEW483"/>
      <c r="XEX483"/>
      <c r="XEY483"/>
      <c r="XEZ483"/>
      <c r="XFA483"/>
      <c r="XFB483"/>
      <c r="XFC483"/>
      <c r="XFD483"/>
    </row>
    <row r="484" spans="1:20 16371:16384" s="2" customFormat="1">
      <c r="A484" s="3"/>
      <c r="B484" s="4"/>
      <c r="C484" s="5"/>
      <c r="D484" s="15"/>
      <c r="E484" s="16"/>
      <c r="F484" s="3"/>
      <c r="G484" s="8"/>
      <c r="H484" s="8"/>
      <c r="I484" s="8"/>
      <c r="J484" s="9"/>
      <c r="K484" s="9"/>
      <c r="L484" s="9"/>
      <c r="M484" s="9"/>
      <c r="T484"/>
      <c r="XEQ484"/>
      <c r="XER484"/>
      <c r="XES484"/>
      <c r="XET484"/>
      <c r="XEU484"/>
      <c r="XEV484"/>
      <c r="XEW484"/>
      <c r="XEX484"/>
      <c r="XEY484"/>
      <c r="XEZ484"/>
      <c r="XFA484"/>
      <c r="XFB484"/>
      <c r="XFC484"/>
      <c r="XFD484"/>
    </row>
    <row r="485" spans="1:20 16371:16384" s="2" customFormat="1">
      <c r="A485" s="3"/>
      <c r="B485" s="4"/>
      <c r="C485" s="5"/>
      <c r="D485" s="15"/>
      <c r="E485" s="16"/>
      <c r="F485" s="3"/>
      <c r="G485" s="8"/>
      <c r="H485" s="8"/>
      <c r="I485" s="8"/>
      <c r="J485" s="9"/>
      <c r="K485" s="9"/>
      <c r="L485" s="9"/>
      <c r="M485" s="9"/>
      <c r="T485"/>
      <c r="XEQ485"/>
      <c r="XER485"/>
      <c r="XES485"/>
      <c r="XET485"/>
      <c r="XEU485"/>
      <c r="XEV485"/>
      <c r="XEW485"/>
      <c r="XEX485"/>
      <c r="XEY485"/>
      <c r="XEZ485"/>
      <c r="XFA485"/>
      <c r="XFB485"/>
      <c r="XFC485"/>
      <c r="XFD485"/>
    </row>
    <row r="486" spans="1:20 16371:16384" s="2" customFormat="1">
      <c r="A486" s="3"/>
      <c r="B486" s="4"/>
      <c r="C486" s="5"/>
      <c r="D486" s="15"/>
      <c r="E486" s="16"/>
      <c r="F486" s="3"/>
      <c r="G486" s="8"/>
      <c r="H486" s="8"/>
      <c r="I486" s="8"/>
      <c r="J486" s="9"/>
      <c r="K486" s="9"/>
      <c r="L486" s="9"/>
      <c r="M486" s="9"/>
      <c r="T486"/>
      <c r="XEQ486"/>
      <c r="XER486"/>
      <c r="XES486"/>
      <c r="XET486"/>
      <c r="XEU486"/>
      <c r="XEV486"/>
      <c r="XEW486"/>
      <c r="XEX486"/>
      <c r="XEY486"/>
      <c r="XEZ486"/>
      <c r="XFA486"/>
      <c r="XFB486"/>
      <c r="XFC486"/>
      <c r="XFD486"/>
    </row>
    <row r="487" spans="1:20 16371:16384" s="2" customFormat="1">
      <c r="A487" s="3"/>
      <c r="B487" s="4"/>
      <c r="C487" s="5"/>
      <c r="D487" s="15"/>
      <c r="E487" s="16"/>
      <c r="F487" s="3"/>
      <c r="G487" s="8"/>
      <c r="H487" s="8"/>
      <c r="I487" s="8"/>
      <c r="J487" s="9"/>
      <c r="K487" s="9"/>
      <c r="L487" s="9"/>
      <c r="M487" s="9"/>
      <c r="T487"/>
      <c r="XEQ487"/>
      <c r="XER487"/>
      <c r="XES487"/>
      <c r="XET487"/>
      <c r="XEU487"/>
      <c r="XEV487"/>
      <c r="XEW487"/>
      <c r="XEX487"/>
      <c r="XEY487"/>
      <c r="XEZ487"/>
      <c r="XFA487"/>
      <c r="XFB487"/>
      <c r="XFC487"/>
      <c r="XFD487"/>
    </row>
    <row r="488" spans="1:20 16371:16384" s="2" customFormat="1">
      <c r="A488" s="3"/>
      <c r="B488" s="4"/>
      <c r="C488" s="5"/>
      <c r="D488" s="15"/>
      <c r="E488" s="16"/>
      <c r="F488" s="3"/>
      <c r="G488" s="8"/>
      <c r="H488" s="8"/>
      <c r="I488" s="8"/>
      <c r="J488" s="9"/>
      <c r="K488" s="9"/>
      <c r="L488" s="9"/>
      <c r="M488" s="9"/>
      <c r="T488"/>
      <c r="XEQ488"/>
      <c r="XER488"/>
      <c r="XES488"/>
      <c r="XET488"/>
      <c r="XEU488"/>
      <c r="XEV488"/>
      <c r="XEW488"/>
      <c r="XEX488"/>
      <c r="XEY488"/>
      <c r="XEZ488"/>
      <c r="XFA488"/>
      <c r="XFB488"/>
      <c r="XFC488"/>
      <c r="XFD488"/>
    </row>
    <row r="489" spans="1:20 16371:16384" s="2" customFormat="1">
      <c r="A489" s="3"/>
      <c r="B489" s="4"/>
      <c r="C489" s="5"/>
      <c r="D489" s="15"/>
      <c r="E489" s="16"/>
      <c r="F489" s="3"/>
      <c r="G489" s="8"/>
      <c r="H489" s="8"/>
      <c r="I489" s="8"/>
      <c r="J489" s="9"/>
      <c r="K489" s="9"/>
      <c r="L489" s="9"/>
      <c r="M489" s="9"/>
      <c r="T489"/>
      <c r="XEQ489"/>
      <c r="XER489"/>
      <c r="XES489"/>
      <c r="XET489"/>
      <c r="XEU489"/>
      <c r="XEV489"/>
      <c r="XEW489"/>
      <c r="XEX489"/>
      <c r="XEY489"/>
      <c r="XEZ489"/>
      <c r="XFA489"/>
      <c r="XFB489"/>
      <c r="XFC489"/>
      <c r="XFD489"/>
    </row>
    <row r="490" spans="1:20 16371:16384" s="2" customFormat="1">
      <c r="A490" s="3"/>
      <c r="B490" s="4"/>
      <c r="C490" s="5"/>
      <c r="D490" s="15"/>
      <c r="E490" s="16"/>
      <c r="F490" s="3"/>
      <c r="G490" s="8"/>
      <c r="H490" s="8"/>
      <c r="I490" s="8"/>
      <c r="J490" s="9"/>
      <c r="K490" s="9"/>
      <c r="L490" s="9"/>
      <c r="M490" s="9"/>
      <c r="T490"/>
      <c r="XEQ490"/>
      <c r="XER490"/>
      <c r="XES490"/>
      <c r="XET490"/>
      <c r="XEU490"/>
      <c r="XEV490"/>
      <c r="XEW490"/>
      <c r="XEX490"/>
      <c r="XEY490"/>
      <c r="XEZ490"/>
      <c r="XFA490"/>
      <c r="XFB490"/>
      <c r="XFC490"/>
      <c r="XFD490"/>
    </row>
    <row r="491" spans="1:20 16371:16384" s="2" customFormat="1">
      <c r="A491" s="3"/>
      <c r="B491" s="4"/>
      <c r="C491" s="5"/>
      <c r="D491" s="15"/>
      <c r="E491" s="16"/>
      <c r="F491" s="3"/>
      <c r="G491" s="8"/>
      <c r="H491" s="8"/>
      <c r="I491" s="8"/>
      <c r="J491" s="9"/>
      <c r="K491" s="9"/>
      <c r="L491" s="9"/>
      <c r="M491" s="9"/>
      <c r="T491"/>
      <c r="XEQ491"/>
      <c r="XER491"/>
      <c r="XES491"/>
      <c r="XET491"/>
      <c r="XEU491"/>
      <c r="XEV491"/>
      <c r="XEW491"/>
      <c r="XEX491"/>
      <c r="XEY491"/>
      <c r="XEZ491"/>
      <c r="XFA491"/>
      <c r="XFB491"/>
      <c r="XFC491"/>
      <c r="XFD491"/>
    </row>
    <row r="492" spans="1:20 16371:16384" s="2" customFormat="1">
      <c r="A492" s="3"/>
      <c r="B492" s="4"/>
      <c r="C492" s="5"/>
      <c r="D492" s="15"/>
      <c r="E492" s="16"/>
      <c r="F492" s="3"/>
      <c r="G492" s="8"/>
      <c r="H492" s="8"/>
      <c r="I492" s="8"/>
      <c r="J492" s="9"/>
      <c r="K492" s="9"/>
      <c r="L492" s="9"/>
      <c r="M492" s="9"/>
      <c r="T492"/>
      <c r="XEQ492"/>
      <c r="XER492"/>
      <c r="XES492"/>
      <c r="XET492"/>
      <c r="XEU492"/>
      <c r="XEV492"/>
      <c r="XEW492"/>
      <c r="XEX492"/>
      <c r="XEY492"/>
      <c r="XEZ492"/>
      <c r="XFA492"/>
      <c r="XFB492"/>
      <c r="XFC492"/>
      <c r="XFD492"/>
    </row>
    <row r="493" spans="1:20 16371:16384" s="2" customFormat="1">
      <c r="A493" s="3"/>
      <c r="B493" s="4"/>
      <c r="C493" s="5"/>
      <c r="D493" s="15"/>
      <c r="E493" s="16"/>
      <c r="F493" s="3"/>
      <c r="G493" s="8"/>
      <c r="H493" s="8"/>
      <c r="I493" s="8"/>
      <c r="J493" s="9"/>
      <c r="K493" s="9"/>
      <c r="L493" s="9"/>
      <c r="M493" s="9"/>
      <c r="T493"/>
      <c r="XEQ493"/>
      <c r="XER493"/>
      <c r="XES493"/>
      <c r="XET493"/>
      <c r="XEU493"/>
      <c r="XEV493"/>
      <c r="XEW493"/>
      <c r="XEX493"/>
      <c r="XEY493"/>
      <c r="XEZ493"/>
      <c r="XFA493"/>
      <c r="XFB493"/>
      <c r="XFC493"/>
      <c r="XFD493"/>
    </row>
    <row r="494" spans="1:20 16371:16384" s="2" customFormat="1">
      <c r="A494" s="3"/>
      <c r="B494" s="4"/>
      <c r="C494" s="5"/>
      <c r="D494" s="15"/>
      <c r="E494" s="16"/>
      <c r="F494" s="3"/>
      <c r="G494" s="8"/>
      <c r="H494" s="8"/>
      <c r="I494" s="8"/>
      <c r="J494" s="9"/>
      <c r="K494" s="9"/>
      <c r="L494" s="9"/>
      <c r="M494" s="9"/>
      <c r="T494"/>
      <c r="XEQ494"/>
      <c r="XER494"/>
      <c r="XES494"/>
      <c r="XET494"/>
      <c r="XEU494"/>
      <c r="XEV494"/>
      <c r="XEW494"/>
      <c r="XEX494"/>
      <c r="XEY494"/>
      <c r="XEZ494"/>
      <c r="XFA494"/>
      <c r="XFB494"/>
      <c r="XFC494"/>
      <c r="XFD494"/>
    </row>
    <row r="495" spans="1:20 16371:16384" s="2" customFormat="1">
      <c r="A495" s="3"/>
      <c r="B495" s="4"/>
      <c r="C495" s="5"/>
      <c r="D495" s="15"/>
      <c r="E495" s="16"/>
      <c r="F495" s="3"/>
      <c r="G495" s="8"/>
      <c r="H495" s="8"/>
      <c r="I495" s="8"/>
      <c r="J495" s="9"/>
      <c r="K495" s="9"/>
      <c r="L495" s="9"/>
      <c r="M495" s="9"/>
      <c r="T495"/>
      <c r="XEQ495"/>
      <c r="XER495"/>
      <c r="XES495"/>
      <c r="XET495"/>
      <c r="XEU495"/>
      <c r="XEV495"/>
      <c r="XEW495"/>
      <c r="XEX495"/>
      <c r="XEY495"/>
      <c r="XEZ495"/>
      <c r="XFA495"/>
      <c r="XFB495"/>
      <c r="XFC495"/>
      <c r="XFD495"/>
    </row>
    <row r="496" spans="1:20 16371:16384" s="2" customFormat="1">
      <c r="A496" s="3"/>
      <c r="B496" s="4"/>
      <c r="C496" s="5"/>
      <c r="D496" s="15"/>
      <c r="E496" s="16"/>
      <c r="F496" s="3"/>
      <c r="G496" s="8"/>
      <c r="H496" s="8"/>
      <c r="I496" s="8"/>
      <c r="J496" s="9"/>
      <c r="K496" s="9"/>
      <c r="L496" s="9"/>
      <c r="M496" s="9"/>
      <c r="T496"/>
      <c r="XEQ496"/>
      <c r="XER496"/>
      <c r="XES496"/>
      <c r="XET496"/>
      <c r="XEU496"/>
      <c r="XEV496"/>
      <c r="XEW496"/>
      <c r="XEX496"/>
      <c r="XEY496"/>
      <c r="XEZ496"/>
      <c r="XFA496"/>
      <c r="XFB496"/>
      <c r="XFC496"/>
      <c r="XFD496"/>
    </row>
    <row r="497" spans="1:20 16371:16384" s="2" customFormat="1">
      <c r="A497" s="3"/>
      <c r="B497" s="4"/>
      <c r="C497" s="5"/>
      <c r="D497" s="15"/>
      <c r="E497" s="16"/>
      <c r="F497" s="3"/>
      <c r="G497" s="8"/>
      <c r="H497" s="8"/>
      <c r="I497" s="8"/>
      <c r="J497" s="9"/>
      <c r="K497" s="9"/>
      <c r="L497" s="9"/>
      <c r="M497" s="9"/>
      <c r="T497"/>
      <c r="XEQ497"/>
      <c r="XER497"/>
      <c r="XES497"/>
      <c r="XET497"/>
      <c r="XEU497"/>
      <c r="XEV497"/>
      <c r="XEW497"/>
      <c r="XEX497"/>
      <c r="XEY497"/>
      <c r="XEZ497"/>
      <c r="XFA497"/>
      <c r="XFB497"/>
      <c r="XFC497"/>
      <c r="XFD497"/>
    </row>
    <row r="498" spans="1:20 16371:16384" s="2" customFormat="1">
      <c r="A498" s="3"/>
      <c r="B498" s="4"/>
      <c r="C498" s="5"/>
      <c r="D498" s="15"/>
      <c r="E498" s="16"/>
      <c r="F498" s="3"/>
      <c r="G498" s="8"/>
      <c r="H498" s="8"/>
      <c r="I498" s="8"/>
      <c r="J498" s="9"/>
      <c r="K498" s="9"/>
      <c r="L498" s="9"/>
      <c r="M498" s="9"/>
      <c r="T498"/>
      <c r="XEQ498"/>
      <c r="XER498"/>
      <c r="XES498"/>
      <c r="XET498"/>
      <c r="XEU498"/>
      <c r="XEV498"/>
      <c r="XEW498"/>
      <c r="XEX498"/>
      <c r="XEY498"/>
      <c r="XEZ498"/>
      <c r="XFA498"/>
      <c r="XFB498"/>
      <c r="XFC498"/>
      <c r="XFD498"/>
    </row>
    <row r="499" spans="1:20 16371:16384" s="2" customFormat="1">
      <c r="A499" s="3"/>
      <c r="B499" s="4"/>
      <c r="C499" s="5"/>
      <c r="D499" s="15"/>
      <c r="E499" s="16"/>
      <c r="F499" s="3"/>
      <c r="G499" s="8"/>
      <c r="H499" s="8"/>
      <c r="I499" s="8"/>
      <c r="J499" s="9"/>
      <c r="K499" s="9"/>
      <c r="L499" s="9"/>
      <c r="M499" s="9"/>
      <c r="T499"/>
      <c r="XEQ499"/>
      <c r="XER499"/>
      <c r="XES499"/>
      <c r="XET499"/>
      <c r="XEU499"/>
      <c r="XEV499"/>
      <c r="XEW499"/>
      <c r="XEX499"/>
      <c r="XEY499"/>
      <c r="XEZ499"/>
      <c r="XFA499"/>
      <c r="XFB499"/>
      <c r="XFC499"/>
      <c r="XFD499"/>
    </row>
    <row r="500" spans="1:20 16371:16384" s="2" customFormat="1">
      <c r="A500" s="3"/>
      <c r="B500" s="4"/>
      <c r="C500" s="5"/>
      <c r="D500" s="15"/>
      <c r="E500" s="16"/>
      <c r="F500" s="3"/>
      <c r="G500" s="8"/>
      <c r="H500" s="8"/>
      <c r="I500" s="8"/>
      <c r="J500" s="9"/>
      <c r="K500" s="9"/>
      <c r="L500" s="9"/>
      <c r="M500" s="9"/>
      <c r="T500"/>
      <c r="XEQ500"/>
      <c r="XER500"/>
      <c r="XES500"/>
      <c r="XET500"/>
      <c r="XEU500"/>
      <c r="XEV500"/>
      <c r="XEW500"/>
      <c r="XEX500"/>
      <c r="XEY500"/>
      <c r="XEZ500"/>
      <c r="XFA500"/>
      <c r="XFB500"/>
      <c r="XFC500"/>
      <c r="XFD500"/>
    </row>
    <row r="501" spans="1:20 16371:16384" s="2" customFormat="1">
      <c r="A501" s="3"/>
      <c r="B501" s="4"/>
      <c r="C501" s="5"/>
      <c r="D501" s="15"/>
      <c r="E501" s="16"/>
      <c r="F501" s="3"/>
      <c r="G501" s="8"/>
      <c r="H501" s="8"/>
      <c r="I501" s="8"/>
      <c r="J501" s="9"/>
      <c r="K501" s="9"/>
      <c r="L501" s="9"/>
      <c r="M501" s="9"/>
      <c r="T501"/>
      <c r="XEQ501"/>
      <c r="XER501"/>
      <c r="XES501"/>
      <c r="XET501"/>
      <c r="XEU501"/>
      <c r="XEV501"/>
      <c r="XEW501"/>
      <c r="XEX501"/>
      <c r="XEY501"/>
      <c r="XEZ501"/>
      <c r="XFA501"/>
      <c r="XFB501"/>
      <c r="XFC501"/>
      <c r="XFD501"/>
    </row>
    <row r="502" spans="1:20 16371:16384" s="2" customFormat="1">
      <c r="A502" s="3"/>
      <c r="B502" s="4"/>
      <c r="C502" s="5"/>
      <c r="D502" s="15"/>
      <c r="E502" s="16"/>
      <c r="F502" s="3"/>
      <c r="G502" s="8"/>
      <c r="H502" s="8"/>
      <c r="I502" s="8"/>
      <c r="J502" s="9"/>
      <c r="K502" s="9"/>
      <c r="L502" s="9"/>
      <c r="M502" s="9"/>
      <c r="T502"/>
      <c r="XEQ502"/>
      <c r="XER502"/>
      <c r="XES502"/>
      <c r="XET502"/>
      <c r="XEU502"/>
      <c r="XEV502"/>
      <c r="XEW502"/>
      <c r="XEX502"/>
      <c r="XEY502"/>
      <c r="XEZ502"/>
      <c r="XFA502"/>
      <c r="XFB502"/>
      <c r="XFC502"/>
      <c r="XFD502"/>
    </row>
    <row r="503" spans="1:20 16371:16384" s="2" customFormat="1">
      <c r="A503" s="3"/>
      <c r="B503" s="4"/>
      <c r="C503" s="5"/>
      <c r="D503" s="15"/>
      <c r="E503" s="16"/>
      <c r="F503" s="3"/>
      <c r="G503" s="8"/>
      <c r="H503" s="8"/>
      <c r="I503" s="8"/>
      <c r="J503" s="9"/>
      <c r="K503" s="9"/>
      <c r="L503" s="9"/>
      <c r="M503" s="9"/>
      <c r="T503"/>
      <c r="XEQ503"/>
      <c r="XER503"/>
      <c r="XES503"/>
      <c r="XET503"/>
      <c r="XEU503"/>
      <c r="XEV503"/>
      <c r="XEW503"/>
      <c r="XEX503"/>
      <c r="XEY503"/>
      <c r="XEZ503"/>
      <c r="XFA503"/>
      <c r="XFB503"/>
      <c r="XFC503"/>
      <c r="XFD503"/>
    </row>
    <row r="504" spans="1:20 16371:16384" s="2" customFormat="1">
      <c r="A504" s="3"/>
      <c r="B504" s="4"/>
      <c r="C504" s="5"/>
      <c r="D504" s="15"/>
      <c r="E504" s="16"/>
      <c r="F504" s="3"/>
      <c r="G504" s="8"/>
      <c r="H504" s="8"/>
      <c r="I504" s="8"/>
      <c r="J504" s="9"/>
      <c r="K504" s="9"/>
      <c r="L504" s="9"/>
      <c r="M504" s="9"/>
      <c r="T504"/>
      <c r="XEQ504"/>
      <c r="XER504"/>
      <c r="XES504"/>
      <c r="XET504"/>
      <c r="XEU504"/>
      <c r="XEV504"/>
      <c r="XEW504"/>
      <c r="XEX504"/>
      <c r="XEY504"/>
      <c r="XEZ504"/>
      <c r="XFA504"/>
      <c r="XFB504"/>
      <c r="XFC504"/>
      <c r="XFD504"/>
    </row>
    <row r="505" spans="1:20 16371:16384" s="2" customFormat="1">
      <c r="A505" s="3"/>
      <c r="B505" s="4"/>
      <c r="C505" s="5"/>
      <c r="D505" s="15"/>
      <c r="E505" s="16"/>
      <c r="F505" s="3"/>
      <c r="G505" s="8"/>
      <c r="H505" s="8"/>
      <c r="I505" s="8"/>
      <c r="J505" s="9"/>
      <c r="K505" s="9"/>
      <c r="L505" s="9"/>
      <c r="M505" s="9"/>
      <c r="T505"/>
      <c r="XEQ505"/>
      <c r="XER505"/>
      <c r="XES505"/>
      <c r="XET505"/>
      <c r="XEU505"/>
      <c r="XEV505"/>
      <c r="XEW505"/>
      <c r="XEX505"/>
      <c r="XEY505"/>
      <c r="XEZ505"/>
      <c r="XFA505"/>
      <c r="XFB505"/>
      <c r="XFC505"/>
      <c r="XFD505"/>
    </row>
    <row r="506" spans="1:20 16371:16384" s="2" customFormat="1">
      <c r="A506" s="3"/>
      <c r="B506" s="4"/>
      <c r="C506" s="5"/>
      <c r="D506" s="15"/>
      <c r="E506" s="16"/>
      <c r="F506" s="3"/>
      <c r="G506" s="8"/>
      <c r="H506" s="8"/>
      <c r="I506" s="8"/>
      <c r="J506" s="9"/>
      <c r="K506" s="9"/>
      <c r="L506" s="9"/>
      <c r="M506" s="9"/>
      <c r="T506"/>
      <c r="XEQ506"/>
      <c r="XER506"/>
      <c r="XES506"/>
      <c r="XET506"/>
      <c r="XEU506"/>
      <c r="XEV506"/>
      <c r="XEW506"/>
      <c r="XEX506"/>
      <c r="XEY506"/>
      <c r="XEZ506"/>
      <c r="XFA506"/>
      <c r="XFB506"/>
      <c r="XFC506"/>
      <c r="XFD506"/>
    </row>
    <row r="507" spans="1:20 16371:16384" s="2" customFormat="1">
      <c r="A507" s="3"/>
      <c r="B507" s="4"/>
      <c r="C507" s="5"/>
      <c r="D507" s="15"/>
      <c r="E507" s="16"/>
      <c r="F507" s="3"/>
      <c r="G507" s="8"/>
      <c r="H507" s="8"/>
      <c r="I507" s="8"/>
      <c r="J507" s="9"/>
      <c r="K507" s="9"/>
      <c r="L507" s="9"/>
      <c r="M507" s="9"/>
      <c r="T507"/>
      <c r="XEQ507"/>
      <c r="XER507"/>
      <c r="XES507"/>
      <c r="XET507"/>
      <c r="XEU507"/>
      <c r="XEV507"/>
      <c r="XEW507"/>
      <c r="XEX507"/>
      <c r="XEY507"/>
      <c r="XEZ507"/>
      <c r="XFA507"/>
      <c r="XFB507"/>
      <c r="XFC507"/>
      <c r="XFD507"/>
    </row>
    <row r="508" spans="1:20 16371:16384" s="2" customFormat="1">
      <c r="A508" s="3"/>
      <c r="B508" s="4"/>
      <c r="C508" s="5"/>
      <c r="D508" s="15"/>
      <c r="E508" s="16"/>
      <c r="F508" s="3"/>
      <c r="G508" s="8"/>
      <c r="H508" s="8"/>
      <c r="I508" s="8"/>
      <c r="J508" s="9"/>
      <c r="K508" s="9"/>
      <c r="L508" s="9"/>
      <c r="M508" s="9"/>
      <c r="T508"/>
      <c r="XEQ508"/>
      <c r="XER508"/>
      <c r="XES508"/>
      <c r="XET508"/>
      <c r="XEU508"/>
      <c r="XEV508"/>
      <c r="XEW508"/>
      <c r="XEX508"/>
      <c r="XEY508"/>
      <c r="XEZ508"/>
      <c r="XFA508"/>
      <c r="XFB508"/>
      <c r="XFC508"/>
      <c r="XFD508"/>
    </row>
    <row r="509" spans="1:20 16371:16384" s="2" customFormat="1">
      <c r="A509" s="3"/>
      <c r="B509" s="4"/>
      <c r="C509" s="5"/>
      <c r="D509" s="15"/>
      <c r="E509" s="16"/>
      <c r="F509" s="3"/>
      <c r="G509" s="8"/>
      <c r="H509" s="8"/>
      <c r="I509" s="8"/>
      <c r="J509" s="9"/>
      <c r="K509" s="9"/>
      <c r="L509" s="9"/>
      <c r="M509" s="9"/>
      <c r="T509"/>
      <c r="XEQ509"/>
      <c r="XER509"/>
      <c r="XES509"/>
      <c r="XET509"/>
      <c r="XEU509"/>
      <c r="XEV509"/>
      <c r="XEW509"/>
      <c r="XEX509"/>
      <c r="XEY509"/>
      <c r="XEZ509"/>
      <c r="XFA509"/>
      <c r="XFB509"/>
      <c r="XFC509"/>
      <c r="XFD509"/>
    </row>
    <row r="510" spans="1:20 16371:16384" s="2" customFormat="1">
      <c r="A510" s="3"/>
      <c r="B510" s="4"/>
      <c r="C510" s="5"/>
      <c r="D510" s="15"/>
      <c r="E510" s="16"/>
      <c r="F510" s="3"/>
      <c r="G510" s="8"/>
      <c r="H510" s="8"/>
      <c r="I510" s="8"/>
      <c r="J510" s="9"/>
      <c r="K510" s="9"/>
      <c r="L510" s="9"/>
      <c r="M510" s="9"/>
      <c r="T510"/>
      <c r="XEQ510"/>
      <c r="XER510"/>
      <c r="XES510"/>
      <c r="XET510"/>
      <c r="XEU510"/>
      <c r="XEV510"/>
      <c r="XEW510"/>
      <c r="XEX510"/>
      <c r="XEY510"/>
      <c r="XEZ510"/>
      <c r="XFA510"/>
      <c r="XFB510"/>
      <c r="XFC510"/>
      <c r="XFD510"/>
    </row>
    <row r="511" spans="1:20 16371:16384" s="2" customFormat="1">
      <c r="A511" s="3"/>
      <c r="B511" s="4"/>
      <c r="C511" s="5"/>
      <c r="D511" s="15"/>
      <c r="E511" s="16"/>
      <c r="F511" s="3"/>
      <c r="G511" s="8"/>
      <c r="H511" s="8"/>
      <c r="I511" s="8"/>
      <c r="J511" s="9"/>
      <c r="K511" s="9"/>
      <c r="L511" s="9"/>
      <c r="M511" s="9"/>
      <c r="T511"/>
      <c r="XEQ511"/>
      <c r="XER511"/>
      <c r="XES511"/>
      <c r="XET511"/>
      <c r="XEU511"/>
      <c r="XEV511"/>
      <c r="XEW511"/>
      <c r="XEX511"/>
      <c r="XEY511"/>
      <c r="XEZ511"/>
      <c r="XFA511"/>
      <c r="XFB511"/>
      <c r="XFC511"/>
      <c r="XFD511"/>
    </row>
    <row r="512" spans="1:20 16371:16384" s="2" customFormat="1">
      <c r="A512" s="3"/>
      <c r="B512" s="4"/>
      <c r="C512" s="5"/>
      <c r="D512" s="15"/>
      <c r="E512" s="16"/>
      <c r="F512" s="3"/>
      <c r="G512" s="8"/>
      <c r="H512" s="8"/>
      <c r="I512" s="8"/>
      <c r="J512" s="9"/>
      <c r="K512" s="9"/>
      <c r="L512" s="9"/>
      <c r="M512" s="9"/>
      <c r="T512"/>
      <c r="XEQ512"/>
      <c r="XER512"/>
      <c r="XES512"/>
      <c r="XET512"/>
      <c r="XEU512"/>
      <c r="XEV512"/>
      <c r="XEW512"/>
      <c r="XEX512"/>
      <c r="XEY512"/>
      <c r="XEZ512"/>
      <c r="XFA512"/>
      <c r="XFB512"/>
      <c r="XFC512"/>
      <c r="XFD512"/>
    </row>
    <row r="513" spans="1:20 16371:16384" s="2" customFormat="1">
      <c r="A513" s="3"/>
      <c r="B513" s="4"/>
      <c r="C513" s="5"/>
      <c r="D513" s="15"/>
      <c r="E513" s="16"/>
      <c r="F513" s="3"/>
      <c r="G513" s="8"/>
      <c r="H513" s="8"/>
      <c r="I513" s="8"/>
      <c r="J513" s="9"/>
      <c r="K513" s="9"/>
      <c r="L513" s="9"/>
      <c r="M513" s="9"/>
      <c r="T513"/>
      <c r="XEQ513"/>
      <c r="XER513"/>
      <c r="XES513"/>
      <c r="XET513"/>
      <c r="XEU513"/>
      <c r="XEV513"/>
      <c r="XEW513"/>
      <c r="XEX513"/>
      <c r="XEY513"/>
      <c r="XEZ513"/>
      <c r="XFA513"/>
      <c r="XFB513"/>
      <c r="XFC513"/>
      <c r="XFD513"/>
    </row>
    <row r="514" spans="1:20 16371:16384" s="2" customFormat="1">
      <c r="A514" s="3"/>
      <c r="B514" s="4"/>
      <c r="C514" s="5"/>
      <c r="D514" s="15"/>
      <c r="E514" s="16"/>
      <c r="F514" s="3"/>
      <c r="G514" s="8"/>
      <c r="H514" s="8"/>
      <c r="I514" s="8"/>
      <c r="J514" s="9"/>
      <c r="K514" s="9"/>
      <c r="L514" s="9"/>
      <c r="M514" s="9"/>
      <c r="T514"/>
      <c r="XEQ514"/>
      <c r="XER514"/>
      <c r="XES514"/>
      <c r="XET514"/>
      <c r="XEU514"/>
      <c r="XEV514"/>
      <c r="XEW514"/>
      <c r="XEX514"/>
      <c r="XEY514"/>
      <c r="XEZ514"/>
      <c r="XFA514"/>
      <c r="XFB514"/>
      <c r="XFC514"/>
      <c r="XFD514"/>
    </row>
    <row r="515" spans="1:20 16371:16384" s="2" customFormat="1">
      <c r="A515" s="3"/>
      <c r="B515" s="4"/>
      <c r="C515" s="5"/>
      <c r="D515" s="15"/>
      <c r="E515" s="16"/>
      <c r="F515" s="3"/>
      <c r="G515" s="8"/>
      <c r="H515" s="8"/>
      <c r="I515" s="8"/>
      <c r="J515" s="9"/>
      <c r="K515" s="9"/>
      <c r="L515" s="9"/>
      <c r="M515" s="9"/>
      <c r="T515"/>
      <c r="XEQ515"/>
      <c r="XER515"/>
      <c r="XES515"/>
      <c r="XET515"/>
      <c r="XEU515"/>
      <c r="XEV515"/>
      <c r="XEW515"/>
      <c r="XEX515"/>
      <c r="XEY515"/>
      <c r="XEZ515"/>
      <c r="XFA515"/>
      <c r="XFB515"/>
      <c r="XFC515"/>
      <c r="XFD515"/>
    </row>
    <row r="516" spans="1:20 16371:16384" s="2" customFormat="1">
      <c r="A516" s="3"/>
      <c r="B516" s="4"/>
      <c r="C516" s="5"/>
      <c r="D516" s="15"/>
      <c r="E516" s="16"/>
      <c r="F516" s="3"/>
      <c r="G516" s="8"/>
      <c r="H516" s="8"/>
      <c r="I516" s="8"/>
      <c r="J516" s="9"/>
      <c r="K516" s="9"/>
      <c r="L516" s="9"/>
      <c r="M516" s="9"/>
      <c r="T516"/>
      <c r="XEQ516"/>
      <c r="XER516"/>
      <c r="XES516"/>
      <c r="XET516"/>
      <c r="XEU516"/>
      <c r="XEV516"/>
      <c r="XEW516"/>
      <c r="XEX516"/>
      <c r="XEY516"/>
      <c r="XEZ516"/>
      <c r="XFA516"/>
      <c r="XFB516"/>
      <c r="XFC516"/>
      <c r="XFD516"/>
    </row>
    <row r="517" spans="1:20 16371:16384" s="2" customFormat="1">
      <c r="A517" s="3"/>
      <c r="B517" s="4"/>
      <c r="C517" s="5"/>
      <c r="D517" s="15"/>
      <c r="E517" s="16"/>
      <c r="F517" s="3"/>
      <c r="G517" s="8"/>
      <c r="H517" s="8"/>
      <c r="I517" s="8"/>
      <c r="J517" s="9"/>
      <c r="K517" s="9"/>
      <c r="L517" s="9"/>
      <c r="M517" s="9"/>
      <c r="T517"/>
      <c r="XEQ517"/>
      <c r="XER517"/>
      <c r="XES517"/>
      <c r="XET517"/>
      <c r="XEU517"/>
      <c r="XEV517"/>
      <c r="XEW517"/>
      <c r="XEX517"/>
      <c r="XEY517"/>
      <c r="XEZ517"/>
      <c r="XFA517"/>
      <c r="XFB517"/>
      <c r="XFC517"/>
      <c r="XFD517"/>
    </row>
    <row r="518" spans="1:20 16371:16384" s="2" customFormat="1">
      <c r="A518" s="3"/>
      <c r="B518" s="4"/>
      <c r="C518" s="5"/>
      <c r="D518" s="15"/>
      <c r="E518" s="16"/>
      <c r="F518" s="3"/>
      <c r="G518" s="8"/>
      <c r="H518" s="8"/>
      <c r="I518" s="8"/>
      <c r="J518" s="9"/>
      <c r="K518" s="9"/>
      <c r="L518" s="9"/>
      <c r="M518" s="9"/>
      <c r="T518"/>
      <c r="XEQ518"/>
      <c r="XER518"/>
      <c r="XES518"/>
      <c r="XET518"/>
      <c r="XEU518"/>
      <c r="XEV518"/>
      <c r="XEW518"/>
      <c r="XEX518"/>
      <c r="XEY518"/>
      <c r="XEZ518"/>
      <c r="XFA518"/>
      <c r="XFB518"/>
      <c r="XFC518"/>
      <c r="XFD518"/>
    </row>
    <row r="519" spans="1:20 16371:16384" s="2" customFormat="1">
      <c r="A519" s="3"/>
      <c r="B519" s="4"/>
      <c r="C519" s="5"/>
      <c r="D519" s="15"/>
      <c r="E519" s="16"/>
      <c r="F519" s="3"/>
      <c r="G519" s="8"/>
      <c r="H519" s="8"/>
      <c r="I519" s="8"/>
      <c r="J519" s="9"/>
      <c r="K519" s="9"/>
      <c r="L519" s="9"/>
      <c r="M519" s="9"/>
      <c r="T519"/>
      <c r="XEQ519"/>
      <c r="XER519"/>
      <c r="XES519"/>
      <c r="XET519"/>
      <c r="XEU519"/>
      <c r="XEV519"/>
      <c r="XEW519"/>
      <c r="XEX519"/>
      <c r="XEY519"/>
      <c r="XEZ519"/>
      <c r="XFA519"/>
      <c r="XFB519"/>
      <c r="XFC519"/>
      <c r="XFD519"/>
    </row>
    <row r="520" spans="1:20 16371:16384" s="2" customFormat="1">
      <c r="A520" s="3"/>
      <c r="B520" s="4"/>
      <c r="C520" s="5"/>
      <c r="D520" s="15"/>
      <c r="E520" s="16"/>
      <c r="F520" s="3"/>
      <c r="G520" s="8"/>
      <c r="H520" s="8"/>
      <c r="I520" s="8"/>
      <c r="J520" s="9"/>
      <c r="K520" s="9"/>
      <c r="L520" s="9"/>
      <c r="M520" s="9"/>
      <c r="T520"/>
      <c r="XEQ520"/>
      <c r="XER520"/>
      <c r="XES520"/>
      <c r="XET520"/>
      <c r="XEU520"/>
      <c r="XEV520"/>
      <c r="XEW520"/>
      <c r="XEX520"/>
      <c r="XEY520"/>
      <c r="XEZ520"/>
      <c r="XFA520"/>
      <c r="XFB520"/>
      <c r="XFC520"/>
      <c r="XFD520"/>
    </row>
    <row r="521" spans="1:20 16371:16384" s="2" customFormat="1">
      <c r="A521" s="3"/>
      <c r="B521" s="4"/>
      <c r="C521" s="5"/>
      <c r="D521" s="15"/>
      <c r="E521" s="16"/>
      <c r="F521" s="3"/>
      <c r="G521" s="8"/>
      <c r="H521" s="8"/>
      <c r="I521" s="8"/>
      <c r="J521" s="9"/>
      <c r="K521" s="9"/>
      <c r="L521" s="9"/>
      <c r="M521" s="9"/>
      <c r="T521"/>
      <c r="XEQ521"/>
      <c r="XER521"/>
      <c r="XES521"/>
      <c r="XET521"/>
      <c r="XEU521"/>
      <c r="XEV521"/>
      <c r="XEW521"/>
      <c r="XEX521"/>
      <c r="XEY521"/>
      <c r="XEZ521"/>
      <c r="XFA521"/>
      <c r="XFB521"/>
      <c r="XFC521"/>
      <c r="XFD521"/>
    </row>
    <row r="522" spans="1:20 16371:16384" s="2" customFormat="1">
      <c r="A522" s="3"/>
      <c r="B522" s="4"/>
      <c r="C522" s="5"/>
      <c r="D522" s="15"/>
      <c r="E522" s="16"/>
      <c r="F522" s="3"/>
      <c r="G522" s="8"/>
      <c r="H522" s="8"/>
      <c r="I522" s="8"/>
      <c r="J522" s="9"/>
      <c r="K522" s="9"/>
      <c r="L522" s="9"/>
      <c r="M522" s="9"/>
      <c r="T522"/>
      <c r="XEQ522"/>
      <c r="XER522"/>
      <c r="XES522"/>
      <c r="XET522"/>
      <c r="XEU522"/>
      <c r="XEV522"/>
      <c r="XEW522"/>
      <c r="XEX522"/>
      <c r="XEY522"/>
      <c r="XEZ522"/>
      <c r="XFA522"/>
      <c r="XFB522"/>
      <c r="XFC522"/>
      <c r="XFD522"/>
    </row>
    <row r="523" spans="1:20 16371:16384" s="2" customFormat="1">
      <c r="A523" s="3"/>
      <c r="B523" s="4"/>
      <c r="C523" s="5"/>
      <c r="D523" s="15"/>
      <c r="E523" s="16"/>
      <c r="F523" s="3"/>
      <c r="G523" s="8"/>
      <c r="H523" s="8"/>
      <c r="I523" s="8"/>
      <c r="J523" s="9"/>
      <c r="K523" s="9"/>
      <c r="L523" s="9"/>
      <c r="M523" s="9"/>
      <c r="T523"/>
      <c r="XEQ523"/>
      <c r="XER523"/>
      <c r="XES523"/>
      <c r="XET523"/>
      <c r="XEU523"/>
      <c r="XEV523"/>
      <c r="XEW523"/>
      <c r="XEX523"/>
      <c r="XEY523"/>
      <c r="XEZ523"/>
      <c r="XFA523"/>
      <c r="XFB523"/>
      <c r="XFC523"/>
      <c r="XFD523"/>
    </row>
    <row r="524" spans="1:20 16371:16384" s="2" customFormat="1">
      <c r="A524" s="3"/>
      <c r="B524" s="4"/>
      <c r="C524" s="5"/>
      <c r="D524" s="15"/>
      <c r="E524" s="16"/>
      <c r="F524" s="3"/>
      <c r="G524" s="8"/>
      <c r="H524" s="8"/>
      <c r="I524" s="8"/>
      <c r="J524" s="9"/>
      <c r="K524" s="9"/>
      <c r="L524" s="9"/>
      <c r="M524" s="9"/>
      <c r="T524"/>
      <c r="XEQ524"/>
      <c r="XER524"/>
      <c r="XES524"/>
      <c r="XET524"/>
      <c r="XEU524"/>
      <c r="XEV524"/>
      <c r="XEW524"/>
      <c r="XEX524"/>
      <c r="XEY524"/>
      <c r="XEZ524"/>
      <c r="XFA524"/>
      <c r="XFB524"/>
      <c r="XFC524"/>
      <c r="XFD524"/>
    </row>
    <row r="525" spans="1:20 16371:16384" s="2" customFormat="1">
      <c r="A525" s="3"/>
      <c r="B525" s="4"/>
      <c r="C525" s="5"/>
      <c r="D525" s="15"/>
      <c r="E525" s="16"/>
      <c r="F525" s="3"/>
      <c r="G525" s="8"/>
      <c r="H525" s="8"/>
      <c r="I525" s="8"/>
      <c r="J525" s="9"/>
      <c r="K525" s="9"/>
      <c r="L525" s="9"/>
      <c r="M525" s="9"/>
      <c r="T525"/>
      <c r="XEQ525"/>
      <c r="XER525"/>
      <c r="XES525"/>
      <c r="XET525"/>
      <c r="XEU525"/>
      <c r="XEV525"/>
      <c r="XEW525"/>
      <c r="XEX525"/>
      <c r="XEY525"/>
      <c r="XEZ525"/>
      <c r="XFA525"/>
      <c r="XFB525"/>
      <c r="XFC525"/>
      <c r="XFD525"/>
    </row>
    <row r="526" spans="1:20 16371:16384" s="2" customFormat="1">
      <c r="A526" s="3"/>
      <c r="B526" s="4"/>
      <c r="C526" s="5"/>
      <c r="D526" s="15"/>
      <c r="E526" s="16"/>
      <c r="F526" s="3"/>
      <c r="G526" s="8"/>
      <c r="H526" s="8"/>
      <c r="I526" s="8"/>
      <c r="J526" s="9"/>
      <c r="K526" s="9"/>
      <c r="L526" s="9"/>
      <c r="M526" s="9"/>
      <c r="T526"/>
      <c r="XEQ526"/>
      <c r="XER526"/>
      <c r="XES526"/>
      <c r="XET526"/>
      <c r="XEU526"/>
      <c r="XEV526"/>
      <c r="XEW526"/>
      <c r="XEX526"/>
      <c r="XEY526"/>
      <c r="XEZ526"/>
      <c r="XFA526"/>
      <c r="XFB526"/>
      <c r="XFC526"/>
      <c r="XFD526"/>
    </row>
    <row r="527" spans="1:20 16371:16384" s="2" customFormat="1">
      <c r="A527" s="3"/>
      <c r="B527" s="4"/>
      <c r="C527" s="5"/>
      <c r="D527" s="15"/>
      <c r="E527" s="16"/>
      <c r="F527" s="3"/>
      <c r="G527" s="8"/>
      <c r="H527" s="8"/>
      <c r="I527" s="8"/>
      <c r="J527" s="9"/>
      <c r="K527" s="9"/>
      <c r="L527" s="9"/>
      <c r="M527" s="9"/>
      <c r="T527"/>
      <c r="XEQ527"/>
      <c r="XER527"/>
      <c r="XES527"/>
      <c r="XET527"/>
      <c r="XEU527"/>
      <c r="XEV527"/>
      <c r="XEW527"/>
      <c r="XEX527"/>
      <c r="XEY527"/>
      <c r="XEZ527"/>
      <c r="XFA527"/>
      <c r="XFB527"/>
      <c r="XFC527"/>
      <c r="XFD527"/>
    </row>
    <row r="528" spans="1:20 16371:16384" s="2" customFormat="1">
      <c r="A528" s="3"/>
      <c r="B528" s="4"/>
      <c r="C528" s="5"/>
      <c r="D528" s="15"/>
      <c r="E528" s="16"/>
      <c r="F528" s="3"/>
      <c r="G528" s="8"/>
      <c r="H528" s="8"/>
      <c r="I528" s="8"/>
      <c r="J528" s="9"/>
      <c r="K528" s="9"/>
      <c r="L528" s="9"/>
      <c r="M528" s="9"/>
      <c r="T528"/>
      <c r="XEQ528"/>
      <c r="XER528"/>
      <c r="XES528"/>
      <c r="XET528"/>
      <c r="XEU528"/>
      <c r="XEV528"/>
      <c r="XEW528"/>
      <c r="XEX528"/>
      <c r="XEY528"/>
      <c r="XEZ528"/>
      <c r="XFA528"/>
      <c r="XFB528"/>
      <c r="XFC528"/>
      <c r="XFD528"/>
    </row>
    <row r="529" spans="1:20 16371:16384" s="2" customFormat="1">
      <c r="A529" s="3"/>
      <c r="B529" s="4"/>
      <c r="C529" s="5"/>
      <c r="D529" s="15"/>
      <c r="E529" s="16"/>
      <c r="F529" s="3"/>
      <c r="G529" s="8"/>
      <c r="H529" s="8"/>
      <c r="I529" s="8"/>
      <c r="J529" s="9"/>
      <c r="K529" s="9"/>
      <c r="L529" s="9"/>
      <c r="M529" s="9"/>
      <c r="T529"/>
      <c r="XEQ529"/>
      <c r="XER529"/>
      <c r="XES529"/>
      <c r="XET529"/>
      <c r="XEU529"/>
      <c r="XEV529"/>
      <c r="XEW529"/>
      <c r="XEX529"/>
      <c r="XEY529"/>
      <c r="XEZ529"/>
      <c r="XFA529"/>
      <c r="XFB529"/>
      <c r="XFC529"/>
      <c r="XFD529"/>
    </row>
    <row r="530" spans="1:20 16371:16384" s="2" customFormat="1">
      <c r="A530" s="3"/>
      <c r="B530" s="4"/>
      <c r="C530" s="5"/>
      <c r="D530" s="15"/>
      <c r="E530" s="16"/>
      <c r="F530" s="3"/>
      <c r="G530" s="8"/>
      <c r="H530" s="8"/>
      <c r="I530" s="8"/>
      <c r="J530" s="9"/>
      <c r="K530" s="9"/>
      <c r="L530" s="9"/>
      <c r="M530" s="9"/>
      <c r="T530"/>
      <c r="XEQ530"/>
      <c r="XER530"/>
      <c r="XES530"/>
      <c r="XET530"/>
      <c r="XEU530"/>
      <c r="XEV530"/>
      <c r="XEW530"/>
      <c r="XEX530"/>
      <c r="XEY530"/>
      <c r="XEZ530"/>
      <c r="XFA530"/>
      <c r="XFB530"/>
      <c r="XFC530"/>
      <c r="XFD530"/>
    </row>
    <row r="531" spans="1:20 16371:16384" s="2" customFormat="1">
      <c r="A531" s="3"/>
      <c r="B531" s="4"/>
      <c r="C531" s="5"/>
      <c r="D531" s="15"/>
      <c r="E531" s="16"/>
      <c r="F531" s="3"/>
      <c r="G531" s="8"/>
      <c r="H531" s="8"/>
      <c r="I531" s="8"/>
      <c r="J531" s="9"/>
      <c r="K531" s="9"/>
      <c r="L531" s="9"/>
      <c r="M531" s="9"/>
      <c r="T531"/>
      <c r="XEQ531"/>
      <c r="XER531"/>
      <c r="XES531"/>
      <c r="XET531"/>
      <c r="XEU531"/>
      <c r="XEV531"/>
      <c r="XEW531"/>
      <c r="XEX531"/>
      <c r="XEY531"/>
      <c r="XEZ531"/>
      <c r="XFA531"/>
      <c r="XFB531"/>
      <c r="XFC531"/>
      <c r="XFD531"/>
    </row>
    <row r="532" spans="1:20 16371:16384" s="2" customFormat="1">
      <c r="A532" s="3"/>
      <c r="B532" s="4"/>
      <c r="C532" s="5"/>
      <c r="D532" s="15"/>
      <c r="E532" s="16"/>
      <c r="F532" s="3"/>
      <c r="G532" s="8"/>
      <c r="H532" s="8"/>
      <c r="I532" s="8"/>
      <c r="J532" s="9"/>
      <c r="K532" s="9"/>
      <c r="L532" s="9"/>
      <c r="M532" s="9"/>
      <c r="T532"/>
      <c r="XEQ532"/>
      <c r="XER532"/>
      <c r="XES532"/>
      <c r="XET532"/>
      <c r="XEU532"/>
      <c r="XEV532"/>
      <c r="XEW532"/>
      <c r="XEX532"/>
      <c r="XEY532"/>
      <c r="XEZ532"/>
      <c r="XFA532"/>
      <c r="XFB532"/>
      <c r="XFC532"/>
      <c r="XFD532"/>
    </row>
    <row r="533" spans="1:20 16371:16384" s="2" customFormat="1">
      <c r="A533" s="3"/>
      <c r="B533" s="4"/>
      <c r="C533" s="5"/>
      <c r="D533" s="15"/>
      <c r="E533" s="16"/>
      <c r="F533" s="3"/>
      <c r="G533" s="8"/>
      <c r="H533" s="8"/>
      <c r="I533" s="8"/>
      <c r="J533" s="9"/>
      <c r="K533" s="9"/>
      <c r="L533" s="9"/>
      <c r="M533" s="9"/>
      <c r="T533"/>
      <c r="XEQ533"/>
      <c r="XER533"/>
      <c r="XES533"/>
      <c r="XET533"/>
      <c r="XEU533"/>
      <c r="XEV533"/>
      <c r="XEW533"/>
      <c r="XEX533"/>
      <c r="XEY533"/>
      <c r="XEZ533"/>
      <c r="XFA533"/>
      <c r="XFB533"/>
      <c r="XFC533"/>
      <c r="XFD533"/>
    </row>
    <row r="534" spans="1:20 16371:16384" s="2" customFormat="1">
      <c r="A534" s="3"/>
      <c r="B534" s="4"/>
      <c r="C534" s="5"/>
      <c r="D534" s="15"/>
      <c r="E534" s="16"/>
      <c r="F534" s="3"/>
      <c r="G534" s="8"/>
      <c r="H534" s="8"/>
      <c r="I534" s="8"/>
      <c r="J534" s="9"/>
      <c r="K534" s="9"/>
      <c r="L534" s="9"/>
      <c r="M534" s="9"/>
      <c r="T534"/>
      <c r="XEQ534"/>
      <c r="XER534"/>
      <c r="XES534"/>
      <c r="XET534"/>
      <c r="XEU534"/>
      <c r="XEV534"/>
      <c r="XEW534"/>
      <c r="XEX534"/>
      <c r="XEY534"/>
      <c r="XEZ534"/>
      <c r="XFA534"/>
      <c r="XFB534"/>
      <c r="XFC534"/>
      <c r="XFD534"/>
    </row>
    <row r="535" spans="1:20 16371:16384" s="2" customFormat="1">
      <c r="A535" s="3"/>
      <c r="B535" s="4"/>
      <c r="C535" s="5"/>
      <c r="D535" s="15"/>
      <c r="E535" s="16"/>
      <c r="F535" s="3"/>
      <c r="G535" s="8"/>
      <c r="H535" s="8"/>
      <c r="I535" s="8"/>
      <c r="J535" s="9"/>
      <c r="K535" s="9"/>
      <c r="L535" s="9"/>
      <c r="M535" s="9"/>
      <c r="T535"/>
      <c r="XEQ535"/>
      <c r="XER535"/>
      <c r="XES535"/>
      <c r="XET535"/>
      <c r="XEU535"/>
      <c r="XEV535"/>
      <c r="XEW535"/>
      <c r="XEX535"/>
      <c r="XEY535"/>
      <c r="XEZ535"/>
      <c r="XFA535"/>
      <c r="XFB535"/>
      <c r="XFC535"/>
      <c r="XFD535"/>
    </row>
    <row r="536" spans="1:20 16371:16384" s="2" customFormat="1">
      <c r="A536" s="3"/>
      <c r="B536" s="4"/>
      <c r="C536" s="5"/>
      <c r="D536" s="15"/>
      <c r="E536" s="16"/>
      <c r="F536" s="3"/>
      <c r="G536" s="8"/>
      <c r="H536" s="8"/>
      <c r="I536" s="8"/>
      <c r="J536" s="9"/>
      <c r="K536" s="9"/>
      <c r="L536" s="9"/>
      <c r="M536" s="9"/>
      <c r="T536"/>
      <c r="XEQ536"/>
      <c r="XER536"/>
      <c r="XES536"/>
      <c r="XET536"/>
      <c r="XEU536"/>
      <c r="XEV536"/>
      <c r="XEW536"/>
      <c r="XEX536"/>
      <c r="XEY536"/>
      <c r="XEZ536"/>
      <c r="XFA536"/>
      <c r="XFB536"/>
      <c r="XFC536"/>
      <c r="XFD536"/>
    </row>
    <row r="537" spans="1:20 16371:16384" s="2" customFormat="1">
      <c r="A537" s="3"/>
      <c r="B537" s="4"/>
      <c r="C537" s="5"/>
      <c r="D537" s="15"/>
      <c r="E537" s="16"/>
      <c r="F537" s="3"/>
      <c r="G537" s="8"/>
      <c r="H537" s="8"/>
      <c r="I537" s="8"/>
      <c r="J537" s="9"/>
      <c r="K537" s="9"/>
      <c r="L537" s="9"/>
      <c r="M537" s="9"/>
      <c r="T537"/>
      <c r="XEQ537"/>
      <c r="XER537"/>
      <c r="XES537"/>
      <c r="XET537"/>
      <c r="XEU537"/>
      <c r="XEV537"/>
      <c r="XEW537"/>
      <c r="XEX537"/>
      <c r="XEY537"/>
      <c r="XEZ537"/>
      <c r="XFA537"/>
      <c r="XFB537"/>
      <c r="XFC537"/>
      <c r="XFD537"/>
    </row>
    <row r="538" spans="1:20 16371:16384" s="2" customFormat="1">
      <c r="A538" s="3"/>
      <c r="B538" s="4"/>
      <c r="C538" s="5"/>
      <c r="D538" s="15"/>
      <c r="E538" s="16"/>
      <c r="F538" s="3"/>
      <c r="G538" s="8"/>
      <c r="H538" s="8"/>
      <c r="I538" s="8"/>
      <c r="J538" s="9"/>
      <c r="K538" s="9"/>
      <c r="L538" s="9"/>
      <c r="M538" s="9"/>
      <c r="T538"/>
      <c r="XEQ538"/>
      <c r="XER538"/>
      <c r="XES538"/>
      <c r="XET538"/>
      <c r="XEU538"/>
      <c r="XEV538"/>
      <c r="XEW538"/>
      <c r="XEX538"/>
      <c r="XEY538"/>
      <c r="XEZ538"/>
      <c r="XFA538"/>
      <c r="XFB538"/>
      <c r="XFC538"/>
      <c r="XFD538"/>
    </row>
    <row r="539" spans="1:20 16371:16384" s="2" customFormat="1">
      <c r="A539" s="3"/>
      <c r="B539" s="4"/>
      <c r="C539" s="5"/>
      <c r="D539" s="15"/>
      <c r="E539" s="16"/>
      <c r="F539" s="3"/>
      <c r="G539" s="8"/>
      <c r="H539" s="8"/>
      <c r="I539" s="8"/>
      <c r="J539" s="9"/>
      <c r="K539" s="9"/>
      <c r="L539" s="9"/>
      <c r="M539" s="9"/>
      <c r="T539"/>
      <c r="XEQ539"/>
      <c r="XER539"/>
      <c r="XES539"/>
      <c r="XET539"/>
      <c r="XEU539"/>
      <c r="XEV539"/>
      <c r="XEW539"/>
      <c r="XEX539"/>
      <c r="XEY539"/>
      <c r="XEZ539"/>
      <c r="XFA539"/>
      <c r="XFB539"/>
      <c r="XFC539"/>
      <c r="XFD539"/>
    </row>
    <row r="540" spans="1:20 16371:16384" s="2" customFormat="1">
      <c r="A540" s="3"/>
      <c r="B540" s="4"/>
      <c r="C540" s="5"/>
      <c r="D540" s="15"/>
      <c r="E540" s="16"/>
      <c r="F540" s="3"/>
      <c r="G540" s="8"/>
      <c r="H540" s="8"/>
      <c r="I540" s="8"/>
      <c r="J540" s="9"/>
      <c r="K540" s="9"/>
      <c r="L540" s="9"/>
      <c r="M540" s="9"/>
      <c r="T540"/>
      <c r="XEQ540"/>
      <c r="XER540"/>
      <c r="XES540"/>
      <c r="XET540"/>
      <c r="XEU540"/>
      <c r="XEV540"/>
      <c r="XEW540"/>
      <c r="XEX540"/>
      <c r="XEY540"/>
      <c r="XEZ540"/>
      <c r="XFA540"/>
      <c r="XFB540"/>
      <c r="XFC540"/>
      <c r="XFD540"/>
    </row>
    <row r="541" spans="1:20 16371:16384" s="2" customFormat="1">
      <c r="A541" s="3"/>
      <c r="B541" s="4"/>
      <c r="C541" s="5"/>
      <c r="D541" s="15"/>
      <c r="E541" s="16"/>
      <c r="F541" s="3"/>
      <c r="G541" s="8"/>
      <c r="H541" s="8"/>
      <c r="I541" s="8"/>
      <c r="J541" s="9"/>
      <c r="K541" s="9"/>
      <c r="L541" s="9"/>
      <c r="M541" s="9"/>
      <c r="T541"/>
      <c r="XEQ541"/>
      <c r="XER541"/>
      <c r="XES541"/>
      <c r="XET541"/>
      <c r="XEU541"/>
      <c r="XEV541"/>
      <c r="XEW541"/>
      <c r="XEX541"/>
      <c r="XEY541"/>
      <c r="XEZ541"/>
      <c r="XFA541"/>
      <c r="XFB541"/>
      <c r="XFC541"/>
      <c r="XFD541"/>
    </row>
    <row r="542" spans="1:20 16371:16384" s="2" customFormat="1">
      <c r="A542" s="3"/>
      <c r="B542" s="4"/>
      <c r="C542" s="5"/>
      <c r="D542" s="15"/>
      <c r="E542" s="16"/>
      <c r="F542" s="3"/>
      <c r="G542" s="8"/>
      <c r="H542" s="8"/>
      <c r="I542" s="8"/>
      <c r="J542" s="9"/>
      <c r="K542" s="9"/>
      <c r="L542" s="9"/>
      <c r="M542" s="9"/>
      <c r="T542"/>
      <c r="XEQ542"/>
      <c r="XER542"/>
      <c r="XES542"/>
      <c r="XET542"/>
      <c r="XEU542"/>
      <c r="XEV542"/>
      <c r="XEW542"/>
      <c r="XEX542"/>
      <c r="XEY542"/>
      <c r="XEZ542"/>
      <c r="XFA542"/>
      <c r="XFB542"/>
      <c r="XFC542"/>
      <c r="XFD542"/>
    </row>
    <row r="543" spans="1:20 16371:16384" s="2" customFormat="1">
      <c r="A543" s="3"/>
      <c r="B543" s="4"/>
      <c r="C543" s="5"/>
      <c r="D543" s="15"/>
      <c r="E543" s="16"/>
      <c r="F543" s="3"/>
      <c r="G543" s="8"/>
      <c r="H543" s="8"/>
      <c r="I543" s="8"/>
      <c r="J543" s="9"/>
      <c r="K543" s="9"/>
      <c r="L543" s="9"/>
      <c r="M543" s="9"/>
      <c r="T543"/>
      <c r="XEQ543"/>
      <c r="XER543"/>
      <c r="XES543"/>
      <c r="XET543"/>
      <c r="XEU543"/>
      <c r="XEV543"/>
      <c r="XEW543"/>
      <c r="XEX543"/>
      <c r="XEY543"/>
      <c r="XEZ543"/>
      <c r="XFA543"/>
      <c r="XFB543"/>
      <c r="XFC543"/>
      <c r="XFD543"/>
    </row>
    <row r="544" spans="1:20 16371:16384" s="2" customFormat="1">
      <c r="A544" s="3"/>
      <c r="B544" s="4"/>
      <c r="C544" s="5"/>
      <c r="D544" s="15"/>
      <c r="E544" s="16"/>
      <c r="F544" s="3"/>
      <c r="G544" s="8"/>
      <c r="H544" s="8"/>
      <c r="I544" s="8"/>
      <c r="J544" s="9"/>
      <c r="K544" s="9"/>
      <c r="L544" s="9"/>
      <c r="M544" s="9"/>
      <c r="T544"/>
      <c r="XEQ544"/>
      <c r="XER544"/>
      <c r="XES544"/>
      <c r="XET544"/>
      <c r="XEU544"/>
      <c r="XEV544"/>
      <c r="XEW544"/>
      <c r="XEX544"/>
      <c r="XEY544"/>
      <c r="XEZ544"/>
      <c r="XFA544"/>
      <c r="XFB544"/>
      <c r="XFC544"/>
      <c r="XFD544"/>
    </row>
    <row r="545" spans="1:20 16371:16384" s="2" customFormat="1">
      <c r="A545" s="3"/>
      <c r="B545" s="4"/>
      <c r="C545" s="5"/>
      <c r="D545" s="15"/>
      <c r="E545" s="16"/>
      <c r="F545" s="3"/>
      <c r="G545" s="8"/>
      <c r="H545" s="8"/>
      <c r="I545" s="8"/>
      <c r="J545" s="9"/>
      <c r="K545" s="9"/>
      <c r="L545" s="9"/>
      <c r="M545" s="9"/>
      <c r="T545"/>
      <c r="XEQ545"/>
      <c r="XER545"/>
      <c r="XES545"/>
      <c r="XET545"/>
      <c r="XEU545"/>
      <c r="XEV545"/>
      <c r="XEW545"/>
      <c r="XEX545"/>
      <c r="XEY545"/>
      <c r="XEZ545"/>
      <c r="XFA545"/>
      <c r="XFB545"/>
      <c r="XFC545"/>
      <c r="XFD545"/>
    </row>
    <row r="546" spans="1:20 16371:16384" s="2" customFormat="1">
      <c r="A546" s="3"/>
      <c r="B546" s="4"/>
      <c r="C546" s="5"/>
      <c r="D546" s="15"/>
      <c r="E546" s="16"/>
      <c r="F546" s="3"/>
      <c r="G546" s="8"/>
      <c r="H546" s="8"/>
      <c r="I546" s="8"/>
      <c r="J546" s="9"/>
      <c r="K546" s="9"/>
      <c r="L546" s="9"/>
      <c r="M546" s="9"/>
      <c r="T546"/>
      <c r="XEQ546"/>
      <c r="XER546"/>
      <c r="XES546"/>
      <c r="XET546"/>
      <c r="XEU546"/>
      <c r="XEV546"/>
      <c r="XEW546"/>
      <c r="XEX546"/>
      <c r="XEY546"/>
      <c r="XEZ546"/>
      <c r="XFA546"/>
      <c r="XFB546"/>
      <c r="XFC546"/>
      <c r="XFD546"/>
    </row>
    <row r="547" spans="1:20 16371:16384" s="2" customFormat="1">
      <c r="A547" s="3"/>
      <c r="B547" s="4"/>
      <c r="C547" s="5"/>
      <c r="D547" s="15"/>
      <c r="E547" s="16"/>
      <c r="F547" s="3"/>
      <c r="G547" s="8"/>
      <c r="H547" s="8"/>
      <c r="I547" s="8"/>
      <c r="J547" s="9"/>
      <c r="K547" s="9"/>
      <c r="L547" s="9"/>
      <c r="M547" s="9"/>
      <c r="T547"/>
      <c r="XEQ547"/>
      <c r="XER547"/>
      <c r="XES547"/>
      <c r="XET547"/>
      <c r="XEU547"/>
      <c r="XEV547"/>
      <c r="XEW547"/>
      <c r="XEX547"/>
      <c r="XEY547"/>
      <c r="XEZ547"/>
      <c r="XFA547"/>
      <c r="XFB547"/>
      <c r="XFC547"/>
      <c r="XFD547"/>
    </row>
    <row r="548" spans="1:20 16371:16384" s="2" customFormat="1">
      <c r="A548" s="3"/>
      <c r="B548" s="4"/>
      <c r="C548" s="5"/>
      <c r="D548" s="15"/>
      <c r="E548" s="16"/>
      <c r="F548" s="3"/>
      <c r="G548" s="8"/>
      <c r="H548" s="8"/>
      <c r="I548" s="8"/>
      <c r="J548" s="9"/>
      <c r="K548" s="9"/>
      <c r="L548" s="9"/>
      <c r="M548" s="9"/>
      <c r="T548"/>
      <c r="XEQ548"/>
      <c r="XER548"/>
      <c r="XES548"/>
      <c r="XET548"/>
      <c r="XEU548"/>
      <c r="XEV548"/>
      <c r="XEW548"/>
      <c r="XEX548"/>
      <c r="XEY548"/>
      <c r="XEZ548"/>
      <c r="XFA548"/>
      <c r="XFB548"/>
      <c r="XFC548"/>
      <c r="XFD548"/>
    </row>
    <row r="549" spans="1:20 16371:16384" s="2" customFormat="1">
      <c r="A549" s="3"/>
      <c r="B549" s="4"/>
      <c r="C549" s="5"/>
      <c r="D549" s="15"/>
      <c r="E549" s="16"/>
      <c r="F549" s="3"/>
      <c r="G549" s="8"/>
      <c r="H549" s="8"/>
      <c r="I549" s="8"/>
      <c r="J549" s="9"/>
      <c r="K549" s="9"/>
      <c r="L549" s="9"/>
      <c r="M549" s="9"/>
      <c r="T549"/>
      <c r="XEQ549"/>
      <c r="XER549"/>
      <c r="XES549"/>
      <c r="XET549"/>
      <c r="XEU549"/>
      <c r="XEV549"/>
      <c r="XEW549"/>
      <c r="XEX549"/>
      <c r="XEY549"/>
      <c r="XEZ549"/>
      <c r="XFA549"/>
      <c r="XFB549"/>
      <c r="XFC549"/>
      <c r="XFD549"/>
    </row>
    <row r="550" spans="1:20 16371:16384" s="2" customFormat="1">
      <c r="A550" s="3"/>
      <c r="B550" s="4"/>
      <c r="C550" s="5"/>
      <c r="D550" s="15"/>
      <c r="E550" s="16"/>
      <c r="F550" s="3"/>
      <c r="G550" s="8"/>
      <c r="H550" s="8"/>
      <c r="I550" s="8"/>
      <c r="J550" s="9"/>
      <c r="K550" s="9"/>
      <c r="L550" s="9"/>
      <c r="M550" s="9"/>
      <c r="T550"/>
      <c r="XEQ550"/>
      <c r="XER550"/>
      <c r="XES550"/>
      <c r="XET550"/>
      <c r="XEU550"/>
      <c r="XEV550"/>
      <c r="XEW550"/>
      <c r="XEX550"/>
      <c r="XEY550"/>
      <c r="XEZ550"/>
      <c r="XFA550"/>
      <c r="XFB550"/>
      <c r="XFC550"/>
      <c r="XFD550"/>
    </row>
    <row r="551" spans="1:20 16371:16384" s="2" customFormat="1">
      <c r="A551" s="3"/>
      <c r="B551" s="4"/>
      <c r="C551" s="5"/>
      <c r="D551" s="15"/>
      <c r="E551" s="16"/>
      <c r="F551" s="3"/>
      <c r="G551" s="8"/>
      <c r="H551" s="8"/>
      <c r="I551" s="8"/>
      <c r="J551" s="9"/>
      <c r="K551" s="9"/>
      <c r="L551" s="9"/>
      <c r="M551" s="9"/>
      <c r="T551"/>
      <c r="XEQ551"/>
      <c r="XER551"/>
      <c r="XES551"/>
      <c r="XET551"/>
      <c r="XEU551"/>
      <c r="XEV551"/>
      <c r="XEW551"/>
      <c r="XEX551"/>
      <c r="XEY551"/>
      <c r="XEZ551"/>
      <c r="XFA551"/>
      <c r="XFB551"/>
      <c r="XFC551"/>
      <c r="XFD551"/>
    </row>
    <row r="552" spans="1:20 16371:16384" s="2" customFormat="1">
      <c r="A552" s="3"/>
      <c r="B552" s="4"/>
      <c r="C552" s="5"/>
      <c r="D552" s="15"/>
      <c r="E552" s="16"/>
      <c r="F552" s="3"/>
      <c r="G552" s="8"/>
      <c r="H552" s="8"/>
      <c r="I552" s="8"/>
      <c r="J552" s="9"/>
      <c r="K552" s="9"/>
      <c r="L552" s="9"/>
      <c r="M552" s="9"/>
      <c r="T552"/>
      <c r="XEQ552"/>
      <c r="XER552"/>
      <c r="XES552"/>
      <c r="XET552"/>
      <c r="XEU552"/>
      <c r="XEV552"/>
      <c r="XEW552"/>
      <c r="XEX552"/>
      <c r="XEY552"/>
      <c r="XEZ552"/>
      <c r="XFA552"/>
      <c r="XFB552"/>
      <c r="XFC552"/>
      <c r="XFD552"/>
    </row>
    <row r="553" spans="1:20 16371:16384" s="2" customFormat="1">
      <c r="A553" s="3"/>
      <c r="B553" s="4"/>
      <c r="C553" s="5"/>
      <c r="D553" s="15"/>
      <c r="E553" s="16"/>
      <c r="F553" s="3"/>
      <c r="G553" s="8"/>
      <c r="H553" s="8"/>
      <c r="I553" s="8"/>
      <c r="J553" s="9"/>
      <c r="K553" s="9"/>
      <c r="L553" s="9"/>
      <c r="M553" s="9"/>
      <c r="T553"/>
      <c r="XEQ553"/>
      <c r="XER553"/>
      <c r="XES553"/>
      <c r="XET553"/>
      <c r="XEU553"/>
      <c r="XEV553"/>
      <c r="XEW553"/>
      <c r="XEX553"/>
      <c r="XEY553"/>
      <c r="XEZ553"/>
      <c r="XFA553"/>
      <c r="XFB553"/>
      <c r="XFC553"/>
      <c r="XFD553"/>
    </row>
    <row r="554" spans="1:20 16371:16384" s="2" customFormat="1">
      <c r="A554" s="3"/>
      <c r="B554" s="4"/>
      <c r="C554" s="5"/>
      <c r="D554" s="15"/>
      <c r="E554" s="16"/>
      <c r="F554" s="3"/>
      <c r="G554" s="8"/>
      <c r="H554" s="8"/>
      <c r="I554" s="8"/>
      <c r="J554" s="9"/>
      <c r="K554" s="9"/>
      <c r="L554" s="9"/>
      <c r="M554" s="9"/>
      <c r="T554"/>
      <c r="XEQ554"/>
      <c r="XER554"/>
      <c r="XES554"/>
      <c r="XET554"/>
      <c r="XEU554"/>
      <c r="XEV554"/>
      <c r="XEW554"/>
      <c r="XEX554"/>
      <c r="XEY554"/>
      <c r="XEZ554"/>
      <c r="XFA554"/>
      <c r="XFB554"/>
      <c r="XFC554"/>
      <c r="XFD554"/>
    </row>
    <row r="555" spans="1:20 16371:16384" s="2" customFormat="1">
      <c r="A555" s="3"/>
      <c r="B555" s="4"/>
      <c r="C555" s="5"/>
      <c r="D555" s="15"/>
      <c r="E555" s="16"/>
      <c r="F555" s="3"/>
      <c r="G555" s="8"/>
      <c r="H555" s="8"/>
      <c r="I555" s="8"/>
      <c r="J555" s="9"/>
      <c r="K555" s="9"/>
      <c r="L555" s="9"/>
      <c r="M555" s="9"/>
      <c r="T555"/>
      <c r="XEQ555"/>
      <c r="XER555"/>
      <c r="XES555"/>
      <c r="XET555"/>
      <c r="XEU555"/>
      <c r="XEV555"/>
      <c r="XEW555"/>
      <c r="XEX555"/>
      <c r="XEY555"/>
      <c r="XEZ555"/>
      <c r="XFA555"/>
      <c r="XFB555"/>
      <c r="XFC555"/>
      <c r="XFD555"/>
    </row>
    <row r="556" spans="1:20 16371:16384" s="2" customFormat="1">
      <c r="A556" s="3"/>
      <c r="B556" s="4"/>
      <c r="C556" s="5"/>
      <c r="D556" s="15"/>
      <c r="E556" s="16"/>
      <c r="F556" s="3"/>
      <c r="G556" s="8"/>
      <c r="H556" s="8"/>
      <c r="I556" s="8"/>
      <c r="J556" s="9"/>
      <c r="K556" s="9"/>
      <c r="L556" s="9"/>
      <c r="M556" s="9"/>
      <c r="T556"/>
      <c r="XEQ556"/>
      <c r="XER556"/>
      <c r="XES556"/>
      <c r="XET556"/>
      <c r="XEU556"/>
      <c r="XEV556"/>
      <c r="XEW556"/>
      <c r="XEX556"/>
      <c r="XEY556"/>
      <c r="XEZ556"/>
      <c r="XFA556"/>
      <c r="XFB556"/>
      <c r="XFC556"/>
      <c r="XFD556"/>
    </row>
    <row r="557" spans="1:20 16371:16384" s="2" customFormat="1">
      <c r="A557" s="3"/>
      <c r="B557" s="4"/>
      <c r="C557" s="5"/>
      <c r="D557" s="15"/>
      <c r="E557" s="16"/>
      <c r="F557" s="3"/>
      <c r="G557" s="8"/>
      <c r="H557" s="8"/>
      <c r="I557" s="8"/>
      <c r="J557" s="9"/>
      <c r="K557" s="9"/>
      <c r="L557" s="9"/>
      <c r="M557" s="9"/>
      <c r="T557"/>
      <c r="XEQ557"/>
      <c r="XER557"/>
      <c r="XES557"/>
      <c r="XET557"/>
      <c r="XEU557"/>
      <c r="XEV557"/>
      <c r="XEW557"/>
      <c r="XEX557"/>
      <c r="XEY557"/>
      <c r="XEZ557"/>
      <c r="XFA557"/>
      <c r="XFB557"/>
      <c r="XFC557"/>
      <c r="XFD557"/>
    </row>
    <row r="558" spans="1:20 16371:16384" s="2" customFormat="1">
      <c r="A558" s="3"/>
      <c r="B558" s="4"/>
      <c r="C558" s="5"/>
      <c r="D558" s="15"/>
      <c r="E558" s="16"/>
      <c r="F558" s="3"/>
      <c r="G558" s="8"/>
      <c r="H558" s="8"/>
      <c r="I558" s="8"/>
      <c r="J558" s="9"/>
      <c r="K558" s="9"/>
      <c r="L558" s="9"/>
      <c r="M558" s="9"/>
      <c r="T558"/>
      <c r="XEQ558"/>
      <c r="XER558"/>
      <c r="XES558"/>
      <c r="XET558"/>
      <c r="XEU558"/>
      <c r="XEV558"/>
      <c r="XEW558"/>
      <c r="XEX558"/>
      <c r="XEY558"/>
      <c r="XEZ558"/>
      <c r="XFA558"/>
      <c r="XFB558"/>
      <c r="XFC558"/>
      <c r="XFD558"/>
    </row>
    <row r="559" spans="1:20 16371:16384" s="2" customFormat="1">
      <c r="A559" s="3"/>
      <c r="B559" s="4"/>
      <c r="C559" s="5"/>
      <c r="D559" s="15"/>
      <c r="E559" s="16"/>
      <c r="F559" s="3"/>
      <c r="G559" s="8"/>
      <c r="H559" s="8"/>
      <c r="I559" s="8"/>
      <c r="J559" s="9"/>
      <c r="K559" s="9"/>
      <c r="L559" s="9"/>
      <c r="M559" s="9"/>
      <c r="T559"/>
      <c r="XEQ559"/>
      <c r="XER559"/>
      <c r="XES559"/>
      <c r="XET559"/>
      <c r="XEU559"/>
      <c r="XEV559"/>
      <c r="XEW559"/>
      <c r="XEX559"/>
      <c r="XEY559"/>
      <c r="XEZ559"/>
      <c r="XFA559"/>
      <c r="XFB559"/>
      <c r="XFC559"/>
      <c r="XFD559"/>
    </row>
    <row r="560" spans="1:20 16371:16384" s="2" customFormat="1">
      <c r="A560" s="3"/>
      <c r="B560" s="4"/>
      <c r="C560" s="5"/>
      <c r="D560" s="15"/>
      <c r="E560" s="16"/>
      <c r="F560" s="3"/>
      <c r="G560" s="8"/>
      <c r="H560" s="8"/>
      <c r="I560" s="8"/>
      <c r="J560" s="9"/>
      <c r="K560" s="9"/>
      <c r="L560" s="9"/>
      <c r="M560" s="9"/>
      <c r="T560"/>
      <c r="XEQ560"/>
      <c r="XER560"/>
      <c r="XES560"/>
      <c r="XET560"/>
      <c r="XEU560"/>
      <c r="XEV560"/>
      <c r="XEW560"/>
      <c r="XEX560"/>
      <c r="XEY560"/>
      <c r="XEZ560"/>
      <c r="XFA560"/>
      <c r="XFB560"/>
      <c r="XFC560"/>
      <c r="XFD560"/>
    </row>
    <row r="561" spans="1:20 16371:16384" s="2" customFormat="1">
      <c r="A561" s="3"/>
      <c r="B561" s="4"/>
      <c r="C561" s="5"/>
      <c r="D561" s="15"/>
      <c r="E561" s="16"/>
      <c r="F561" s="3"/>
      <c r="G561" s="8"/>
      <c r="H561" s="8"/>
      <c r="I561" s="8"/>
      <c r="J561" s="9"/>
      <c r="K561" s="9"/>
      <c r="L561" s="9"/>
      <c r="M561" s="9"/>
      <c r="T561"/>
      <c r="XEQ561"/>
      <c r="XER561"/>
      <c r="XES561"/>
      <c r="XET561"/>
      <c r="XEU561"/>
      <c r="XEV561"/>
      <c r="XEW561"/>
      <c r="XEX561"/>
      <c r="XEY561"/>
      <c r="XEZ561"/>
      <c r="XFA561"/>
      <c r="XFB561"/>
      <c r="XFC561"/>
      <c r="XFD561"/>
    </row>
    <row r="562" spans="1:20 16371:16384" s="2" customFormat="1">
      <c r="A562" s="3"/>
      <c r="B562" s="4"/>
      <c r="C562" s="5"/>
      <c r="D562" s="15"/>
      <c r="E562" s="16"/>
      <c r="F562" s="3"/>
      <c r="G562" s="8"/>
      <c r="H562" s="8"/>
      <c r="I562" s="8"/>
      <c r="J562" s="9"/>
      <c r="K562" s="9"/>
      <c r="L562" s="9"/>
      <c r="M562" s="9"/>
      <c r="T562"/>
      <c r="XEQ562"/>
      <c r="XER562"/>
      <c r="XES562"/>
      <c r="XET562"/>
      <c r="XEU562"/>
      <c r="XEV562"/>
      <c r="XEW562"/>
      <c r="XEX562"/>
      <c r="XEY562"/>
      <c r="XEZ562"/>
      <c r="XFA562"/>
      <c r="XFB562"/>
      <c r="XFC562"/>
      <c r="XFD562"/>
    </row>
    <row r="563" spans="1:20 16371:16384" s="2" customFormat="1">
      <c r="A563" s="3"/>
      <c r="B563" s="4"/>
      <c r="C563" s="5"/>
      <c r="D563" s="15"/>
      <c r="E563" s="16"/>
      <c r="F563" s="3"/>
      <c r="G563" s="8"/>
      <c r="H563" s="8"/>
      <c r="I563" s="8"/>
      <c r="J563" s="9"/>
      <c r="K563" s="9"/>
      <c r="L563" s="9"/>
      <c r="M563" s="9"/>
      <c r="T563"/>
      <c r="XEQ563"/>
      <c r="XER563"/>
      <c r="XES563"/>
      <c r="XET563"/>
      <c r="XEU563"/>
      <c r="XEV563"/>
      <c r="XEW563"/>
      <c r="XEX563"/>
      <c r="XEY563"/>
      <c r="XEZ563"/>
      <c r="XFA563"/>
      <c r="XFB563"/>
      <c r="XFC563"/>
      <c r="XFD563"/>
    </row>
    <row r="564" spans="1:20 16371:16384" s="2" customFormat="1">
      <c r="A564" s="3"/>
      <c r="B564" s="4"/>
      <c r="C564" s="5"/>
      <c r="D564" s="15"/>
      <c r="E564" s="16"/>
      <c r="F564" s="3"/>
      <c r="G564" s="8"/>
      <c r="H564" s="8"/>
      <c r="I564" s="8"/>
      <c r="J564" s="9"/>
      <c r="K564" s="9"/>
      <c r="L564" s="9"/>
      <c r="M564" s="9"/>
      <c r="T564"/>
      <c r="XEQ564"/>
      <c r="XER564"/>
      <c r="XES564"/>
      <c r="XET564"/>
      <c r="XEU564"/>
      <c r="XEV564"/>
      <c r="XEW564"/>
      <c r="XEX564"/>
      <c r="XEY564"/>
      <c r="XEZ564"/>
      <c r="XFA564"/>
      <c r="XFB564"/>
      <c r="XFC564"/>
      <c r="XFD564"/>
    </row>
    <row r="565" spans="1:20 16371:16384" s="2" customFormat="1">
      <c r="A565" s="3"/>
      <c r="B565" s="4"/>
      <c r="C565" s="5"/>
      <c r="D565" s="15"/>
      <c r="E565" s="16"/>
      <c r="F565" s="3"/>
      <c r="G565" s="8"/>
      <c r="H565" s="8"/>
      <c r="I565" s="8"/>
      <c r="J565" s="9"/>
      <c r="K565" s="9"/>
      <c r="L565" s="9"/>
      <c r="M565" s="9"/>
      <c r="T565"/>
      <c r="XEQ565"/>
      <c r="XER565"/>
      <c r="XES565"/>
      <c r="XET565"/>
      <c r="XEU565"/>
      <c r="XEV565"/>
      <c r="XEW565"/>
      <c r="XEX565"/>
      <c r="XEY565"/>
      <c r="XEZ565"/>
      <c r="XFA565"/>
      <c r="XFB565"/>
      <c r="XFC565"/>
      <c r="XFD565"/>
    </row>
    <row r="566" spans="1:20 16371:16384" s="2" customFormat="1">
      <c r="A566" s="3"/>
      <c r="B566" s="4"/>
      <c r="C566" s="5"/>
      <c r="D566" s="15"/>
      <c r="E566" s="16"/>
      <c r="F566" s="3"/>
      <c r="G566" s="8"/>
      <c r="H566" s="8"/>
      <c r="I566" s="8"/>
      <c r="J566" s="9"/>
      <c r="K566" s="9"/>
      <c r="L566" s="9"/>
      <c r="M566" s="9"/>
      <c r="T566"/>
      <c r="XEQ566"/>
      <c r="XER566"/>
      <c r="XES566"/>
      <c r="XET566"/>
      <c r="XEU566"/>
      <c r="XEV566"/>
      <c r="XEW566"/>
      <c r="XEX566"/>
      <c r="XEY566"/>
      <c r="XEZ566"/>
      <c r="XFA566"/>
      <c r="XFB566"/>
      <c r="XFC566"/>
      <c r="XFD566"/>
    </row>
    <row r="567" spans="1:20 16371:16384" s="2" customFormat="1">
      <c r="A567" s="3"/>
      <c r="B567" s="4"/>
      <c r="C567" s="5"/>
      <c r="D567" s="15"/>
      <c r="E567" s="16"/>
      <c r="F567" s="3"/>
      <c r="G567" s="8"/>
      <c r="H567" s="8"/>
      <c r="I567" s="8"/>
      <c r="J567" s="9"/>
      <c r="K567" s="9"/>
      <c r="L567" s="9"/>
      <c r="M567" s="9"/>
      <c r="T567"/>
      <c r="XEQ567"/>
      <c r="XER567"/>
      <c r="XES567"/>
      <c r="XET567"/>
      <c r="XEU567"/>
      <c r="XEV567"/>
      <c r="XEW567"/>
      <c r="XEX567"/>
      <c r="XEY567"/>
      <c r="XEZ567"/>
      <c r="XFA567"/>
      <c r="XFB567"/>
      <c r="XFC567"/>
      <c r="XFD567"/>
    </row>
    <row r="568" spans="1:20 16371:16384" s="2" customFormat="1">
      <c r="A568" s="3"/>
      <c r="B568" s="4"/>
      <c r="C568" s="5"/>
      <c r="D568" s="15"/>
      <c r="E568" s="16"/>
      <c r="F568" s="3"/>
      <c r="G568" s="8"/>
      <c r="H568" s="8"/>
      <c r="I568" s="8"/>
      <c r="J568" s="9"/>
      <c r="K568" s="9"/>
      <c r="L568" s="9"/>
      <c r="M568" s="9"/>
      <c r="T568"/>
      <c r="XEQ568"/>
      <c r="XER568"/>
      <c r="XES568"/>
      <c r="XET568"/>
      <c r="XEU568"/>
      <c r="XEV568"/>
      <c r="XEW568"/>
      <c r="XEX568"/>
      <c r="XEY568"/>
      <c r="XEZ568"/>
      <c r="XFA568"/>
      <c r="XFB568"/>
      <c r="XFC568"/>
      <c r="XFD568"/>
    </row>
    <row r="569" spans="1:20 16371:16384" s="2" customFormat="1">
      <c r="A569" s="3"/>
      <c r="B569" s="4"/>
      <c r="C569" s="5"/>
      <c r="D569" s="15"/>
      <c r="E569" s="16"/>
      <c r="F569" s="3"/>
      <c r="G569" s="8"/>
      <c r="H569" s="8"/>
      <c r="I569" s="8"/>
      <c r="J569" s="9"/>
      <c r="K569" s="9"/>
      <c r="L569" s="9"/>
      <c r="M569" s="9"/>
      <c r="T569"/>
      <c r="XEQ569"/>
      <c r="XER569"/>
      <c r="XES569"/>
      <c r="XET569"/>
      <c r="XEU569"/>
      <c r="XEV569"/>
      <c r="XEW569"/>
      <c r="XEX569"/>
      <c r="XEY569"/>
      <c r="XEZ569"/>
      <c r="XFA569"/>
      <c r="XFB569"/>
      <c r="XFC569"/>
      <c r="XFD569"/>
    </row>
    <row r="570" spans="1:20 16371:16384" s="2" customFormat="1">
      <c r="A570" s="3"/>
      <c r="B570" s="4"/>
      <c r="C570" s="5"/>
      <c r="D570" s="15"/>
      <c r="E570" s="16"/>
      <c r="F570" s="3"/>
      <c r="G570" s="8"/>
      <c r="H570" s="8"/>
      <c r="I570" s="8"/>
      <c r="J570" s="9"/>
      <c r="K570" s="9"/>
      <c r="L570" s="9"/>
      <c r="M570" s="9"/>
      <c r="T570"/>
      <c r="XEQ570"/>
      <c r="XER570"/>
      <c r="XES570"/>
      <c r="XET570"/>
      <c r="XEU570"/>
      <c r="XEV570"/>
      <c r="XEW570"/>
      <c r="XEX570"/>
      <c r="XEY570"/>
      <c r="XEZ570"/>
      <c r="XFA570"/>
      <c r="XFB570"/>
      <c r="XFC570"/>
      <c r="XFD570"/>
    </row>
    <row r="571" spans="1:20 16371:16384" s="2" customFormat="1">
      <c r="A571" s="3"/>
      <c r="B571" s="4"/>
      <c r="C571" s="5"/>
      <c r="D571" s="15"/>
      <c r="E571" s="16"/>
      <c r="F571" s="3"/>
      <c r="G571" s="8"/>
      <c r="H571" s="8"/>
      <c r="I571" s="8"/>
      <c r="J571" s="9"/>
      <c r="K571" s="9"/>
      <c r="L571" s="9"/>
      <c r="M571" s="9"/>
      <c r="T571"/>
      <c r="XEQ571"/>
      <c r="XER571"/>
      <c r="XES571"/>
      <c r="XET571"/>
      <c r="XEU571"/>
      <c r="XEV571"/>
      <c r="XEW571"/>
      <c r="XEX571"/>
      <c r="XEY571"/>
      <c r="XEZ571"/>
      <c r="XFA571"/>
      <c r="XFB571"/>
      <c r="XFC571"/>
      <c r="XFD571"/>
    </row>
    <row r="572" spans="1:20 16371:16384" s="2" customFormat="1">
      <c r="A572" s="3"/>
      <c r="B572" s="4"/>
      <c r="C572" s="5"/>
      <c r="D572" s="15"/>
      <c r="E572" s="16"/>
      <c r="F572" s="3"/>
      <c r="G572" s="8"/>
      <c r="H572" s="8"/>
      <c r="I572" s="8"/>
      <c r="J572" s="9"/>
      <c r="K572" s="9"/>
      <c r="L572" s="9"/>
      <c r="M572" s="9"/>
      <c r="T572"/>
      <c r="XEQ572"/>
      <c r="XER572"/>
      <c r="XES572"/>
      <c r="XET572"/>
      <c r="XEU572"/>
      <c r="XEV572"/>
      <c r="XEW572"/>
      <c r="XEX572"/>
      <c r="XEY572"/>
      <c r="XEZ572"/>
      <c r="XFA572"/>
      <c r="XFB572"/>
      <c r="XFC572"/>
      <c r="XFD572"/>
    </row>
    <row r="573" spans="1:20 16371:16384" s="2" customFormat="1">
      <c r="A573" s="3"/>
      <c r="B573" s="4"/>
      <c r="C573" s="5"/>
      <c r="D573" s="15"/>
      <c r="E573" s="16"/>
      <c r="F573" s="3"/>
      <c r="G573" s="8"/>
      <c r="H573" s="8"/>
      <c r="I573" s="8"/>
      <c r="J573" s="9"/>
      <c r="K573" s="9"/>
      <c r="L573" s="9"/>
      <c r="M573" s="9"/>
      <c r="T573"/>
      <c r="XEQ573"/>
      <c r="XER573"/>
      <c r="XES573"/>
      <c r="XET573"/>
      <c r="XEU573"/>
      <c r="XEV573"/>
      <c r="XEW573"/>
      <c r="XEX573"/>
      <c r="XEY573"/>
      <c r="XEZ573"/>
      <c r="XFA573"/>
      <c r="XFB573"/>
      <c r="XFC573"/>
      <c r="XFD573"/>
    </row>
    <row r="574" spans="1:20 16371:16384" s="2" customFormat="1">
      <c r="A574" s="3"/>
      <c r="B574" s="4"/>
      <c r="C574" s="5"/>
      <c r="D574" s="15"/>
      <c r="E574" s="16"/>
      <c r="F574" s="3"/>
      <c r="G574" s="8"/>
      <c r="H574" s="8"/>
      <c r="I574" s="8"/>
      <c r="J574" s="9"/>
      <c r="K574" s="9"/>
      <c r="L574" s="9"/>
      <c r="M574" s="9"/>
      <c r="T574"/>
      <c r="XEQ574"/>
      <c r="XER574"/>
      <c r="XES574"/>
      <c r="XET574"/>
      <c r="XEU574"/>
      <c r="XEV574"/>
      <c r="XEW574"/>
      <c r="XEX574"/>
      <c r="XEY574"/>
      <c r="XEZ574"/>
      <c r="XFA574"/>
      <c r="XFB574"/>
      <c r="XFC574"/>
      <c r="XFD574"/>
    </row>
    <row r="575" spans="1:20 16371:16384" s="2" customFormat="1">
      <c r="A575" s="3"/>
      <c r="B575" s="4"/>
      <c r="C575" s="5"/>
      <c r="D575" s="15"/>
      <c r="E575" s="16"/>
      <c r="F575" s="3"/>
      <c r="G575" s="8"/>
      <c r="H575" s="8"/>
      <c r="I575" s="8"/>
      <c r="J575" s="9"/>
      <c r="K575" s="9"/>
      <c r="L575" s="9"/>
      <c r="M575" s="9"/>
      <c r="T575"/>
      <c r="XEQ575"/>
      <c r="XER575"/>
      <c r="XES575"/>
      <c r="XET575"/>
      <c r="XEU575"/>
      <c r="XEV575"/>
      <c r="XEW575"/>
      <c r="XEX575"/>
      <c r="XEY575"/>
      <c r="XEZ575"/>
      <c r="XFA575"/>
      <c r="XFB575"/>
      <c r="XFC575"/>
      <c r="XFD575"/>
    </row>
    <row r="576" spans="1:20 16371:16384" s="2" customFormat="1">
      <c r="A576" s="3"/>
      <c r="B576" s="4"/>
      <c r="C576" s="5"/>
      <c r="D576" s="15"/>
      <c r="E576" s="16"/>
      <c r="F576" s="3"/>
      <c r="G576" s="8"/>
      <c r="H576" s="8"/>
      <c r="I576" s="8"/>
      <c r="J576" s="9"/>
      <c r="K576" s="9"/>
      <c r="L576" s="9"/>
      <c r="M576" s="9"/>
      <c r="T576"/>
      <c r="XEQ576"/>
      <c r="XER576"/>
      <c r="XES576"/>
      <c r="XET576"/>
      <c r="XEU576"/>
      <c r="XEV576"/>
      <c r="XEW576"/>
      <c r="XEX576"/>
      <c r="XEY576"/>
      <c r="XEZ576"/>
      <c r="XFA576"/>
      <c r="XFB576"/>
      <c r="XFC576"/>
      <c r="XFD576"/>
    </row>
    <row r="577" spans="1:20 16371:16384" s="2" customFormat="1">
      <c r="A577" s="3"/>
      <c r="B577" s="4"/>
      <c r="C577" s="5"/>
      <c r="D577" s="15"/>
      <c r="E577" s="16"/>
      <c r="F577" s="3"/>
      <c r="G577" s="8"/>
      <c r="H577" s="8"/>
      <c r="I577" s="8"/>
      <c r="J577" s="9"/>
      <c r="K577" s="9"/>
      <c r="L577" s="9"/>
      <c r="M577" s="9"/>
      <c r="T577"/>
      <c r="XEQ577"/>
      <c r="XER577"/>
      <c r="XES577"/>
      <c r="XET577"/>
      <c r="XEU577"/>
      <c r="XEV577"/>
      <c r="XEW577"/>
      <c r="XEX577"/>
      <c r="XEY577"/>
      <c r="XEZ577"/>
      <c r="XFA577"/>
      <c r="XFB577"/>
      <c r="XFC577"/>
      <c r="XFD577"/>
    </row>
    <row r="578" spans="1:20 16371:16384" s="2" customFormat="1">
      <c r="A578" s="3"/>
      <c r="B578" s="4"/>
      <c r="C578" s="5"/>
      <c r="D578" s="15"/>
      <c r="E578" s="16"/>
      <c r="F578" s="3"/>
      <c r="G578" s="8"/>
      <c r="H578" s="8"/>
      <c r="I578" s="8"/>
      <c r="J578" s="9"/>
      <c r="K578" s="9"/>
      <c r="L578" s="9"/>
      <c r="M578" s="9"/>
      <c r="T578"/>
      <c r="XEQ578"/>
      <c r="XER578"/>
      <c r="XES578"/>
      <c r="XET578"/>
      <c r="XEU578"/>
      <c r="XEV578"/>
      <c r="XEW578"/>
      <c r="XEX578"/>
      <c r="XEY578"/>
      <c r="XEZ578"/>
      <c r="XFA578"/>
      <c r="XFB578"/>
      <c r="XFC578"/>
      <c r="XFD578"/>
    </row>
    <row r="579" spans="1:20 16371:16384" s="2" customFormat="1">
      <c r="A579" s="3"/>
      <c r="B579" s="4"/>
      <c r="C579" s="5"/>
      <c r="D579" s="15"/>
      <c r="E579" s="16"/>
      <c r="F579" s="3"/>
      <c r="G579" s="8"/>
      <c r="H579" s="8"/>
      <c r="I579" s="8"/>
      <c r="J579" s="9"/>
      <c r="K579" s="9"/>
      <c r="L579" s="9"/>
      <c r="M579" s="9"/>
      <c r="T579"/>
      <c r="XEQ579"/>
      <c r="XER579"/>
      <c r="XES579"/>
      <c r="XET579"/>
      <c r="XEU579"/>
      <c r="XEV579"/>
      <c r="XEW579"/>
      <c r="XEX579"/>
      <c r="XEY579"/>
      <c r="XEZ579"/>
      <c r="XFA579"/>
      <c r="XFB579"/>
      <c r="XFC579"/>
      <c r="XFD579"/>
    </row>
    <row r="580" spans="1:20 16371:16384" s="2" customFormat="1">
      <c r="A580" s="3"/>
      <c r="B580" s="4"/>
      <c r="C580" s="5"/>
      <c r="D580" s="15"/>
      <c r="E580" s="16"/>
      <c r="F580" s="3"/>
      <c r="G580" s="8"/>
      <c r="H580" s="8"/>
      <c r="I580" s="8"/>
      <c r="J580" s="9"/>
      <c r="K580" s="9"/>
      <c r="L580" s="9"/>
      <c r="M580" s="9"/>
      <c r="T580"/>
      <c r="XEQ580"/>
      <c r="XER580"/>
      <c r="XES580"/>
      <c r="XET580"/>
      <c r="XEU580"/>
      <c r="XEV580"/>
      <c r="XEW580"/>
      <c r="XEX580"/>
      <c r="XEY580"/>
      <c r="XEZ580"/>
      <c r="XFA580"/>
      <c r="XFB580"/>
      <c r="XFC580"/>
      <c r="XFD580"/>
    </row>
    <row r="581" spans="1:20 16371:16384" s="2" customFormat="1">
      <c r="A581" s="3"/>
      <c r="B581" s="4"/>
      <c r="C581" s="5"/>
      <c r="D581" s="15"/>
      <c r="E581" s="16"/>
      <c r="F581" s="3"/>
      <c r="G581" s="8"/>
      <c r="H581" s="8"/>
      <c r="I581" s="8"/>
      <c r="J581" s="9"/>
      <c r="K581" s="9"/>
      <c r="L581" s="9"/>
      <c r="M581" s="9"/>
      <c r="T581"/>
      <c r="XEQ581"/>
      <c r="XER581"/>
      <c r="XES581"/>
      <c r="XET581"/>
      <c r="XEU581"/>
      <c r="XEV581"/>
      <c r="XEW581"/>
      <c r="XEX581"/>
      <c r="XEY581"/>
      <c r="XEZ581"/>
      <c r="XFA581"/>
      <c r="XFB581"/>
      <c r="XFC581"/>
      <c r="XFD581"/>
    </row>
    <row r="582" spans="1:20 16371:16384" s="2" customFormat="1">
      <c r="A582" s="3"/>
      <c r="B582" s="4"/>
      <c r="C582" s="5"/>
      <c r="D582" s="15"/>
      <c r="E582" s="16"/>
      <c r="F582" s="3"/>
      <c r="G582" s="8"/>
      <c r="H582" s="8"/>
      <c r="I582" s="8"/>
      <c r="J582" s="9"/>
      <c r="K582" s="9"/>
      <c r="L582" s="9"/>
      <c r="M582" s="9"/>
      <c r="T582"/>
      <c r="XEQ582"/>
      <c r="XER582"/>
      <c r="XES582"/>
      <c r="XET582"/>
      <c r="XEU582"/>
      <c r="XEV582"/>
      <c r="XEW582"/>
      <c r="XEX582"/>
      <c r="XEY582"/>
      <c r="XEZ582"/>
      <c r="XFA582"/>
      <c r="XFB582"/>
      <c r="XFC582"/>
      <c r="XFD582"/>
    </row>
    <row r="583" spans="1:20 16371:16384" s="2" customFormat="1">
      <c r="A583" s="3"/>
      <c r="B583" s="4"/>
      <c r="C583" s="5"/>
      <c r="D583" s="15"/>
      <c r="E583" s="16"/>
      <c r="F583" s="3"/>
      <c r="G583" s="8"/>
      <c r="H583" s="8"/>
      <c r="I583" s="8"/>
      <c r="J583" s="9"/>
      <c r="K583" s="9"/>
      <c r="L583" s="9"/>
      <c r="M583" s="9"/>
      <c r="T583"/>
      <c r="XEQ583"/>
      <c r="XER583"/>
      <c r="XES583"/>
      <c r="XET583"/>
      <c r="XEU583"/>
      <c r="XEV583"/>
      <c r="XEW583"/>
      <c r="XEX583"/>
      <c r="XEY583"/>
      <c r="XEZ583"/>
      <c r="XFA583"/>
      <c r="XFB583"/>
      <c r="XFC583"/>
      <c r="XFD583"/>
    </row>
    <row r="584" spans="1:20 16371:16384" s="2" customFormat="1">
      <c r="A584" s="3"/>
      <c r="B584" s="4"/>
      <c r="C584" s="5"/>
      <c r="D584" s="15"/>
      <c r="E584" s="16"/>
      <c r="F584" s="3"/>
      <c r="G584" s="8"/>
      <c r="H584" s="8"/>
      <c r="I584" s="8"/>
      <c r="J584" s="9"/>
      <c r="K584" s="9"/>
      <c r="L584" s="9"/>
      <c r="M584" s="9"/>
      <c r="T584"/>
      <c r="XEQ584"/>
      <c r="XER584"/>
      <c r="XES584"/>
      <c r="XET584"/>
      <c r="XEU584"/>
      <c r="XEV584"/>
      <c r="XEW584"/>
      <c r="XEX584"/>
      <c r="XEY584"/>
      <c r="XEZ584"/>
      <c r="XFA584"/>
      <c r="XFB584"/>
      <c r="XFC584"/>
      <c r="XFD584"/>
    </row>
    <row r="585" spans="1:20 16371:16384" s="2" customFormat="1">
      <c r="A585" s="3"/>
      <c r="B585" s="4"/>
      <c r="C585" s="5"/>
      <c r="D585" s="15"/>
      <c r="E585" s="16"/>
      <c r="F585" s="3"/>
      <c r="G585" s="8"/>
      <c r="H585" s="8"/>
      <c r="I585" s="8"/>
      <c r="J585" s="9"/>
      <c r="K585" s="9"/>
      <c r="L585" s="9"/>
      <c r="M585" s="9"/>
      <c r="T585"/>
      <c r="XEQ585"/>
      <c r="XER585"/>
      <c r="XES585"/>
      <c r="XET585"/>
      <c r="XEU585"/>
      <c r="XEV585"/>
      <c r="XEW585"/>
      <c r="XEX585"/>
      <c r="XEY585"/>
      <c r="XEZ585"/>
      <c r="XFA585"/>
      <c r="XFB585"/>
      <c r="XFC585"/>
      <c r="XFD585"/>
    </row>
    <row r="586" spans="1:20 16371:16384" s="2" customFormat="1">
      <c r="A586" s="3"/>
      <c r="B586" s="4"/>
      <c r="C586" s="5"/>
      <c r="D586" s="15"/>
      <c r="E586" s="16"/>
      <c r="F586" s="3"/>
      <c r="G586" s="8"/>
      <c r="H586" s="8"/>
      <c r="I586" s="8"/>
      <c r="J586" s="9"/>
      <c r="K586" s="9"/>
      <c r="L586" s="9"/>
      <c r="M586" s="9"/>
      <c r="T586"/>
      <c r="XEQ586"/>
      <c r="XER586"/>
      <c r="XES586"/>
      <c r="XET586"/>
      <c r="XEU586"/>
      <c r="XEV586"/>
      <c r="XEW586"/>
      <c r="XEX586"/>
      <c r="XEY586"/>
      <c r="XEZ586"/>
      <c r="XFA586"/>
      <c r="XFB586"/>
      <c r="XFC586"/>
      <c r="XFD586"/>
    </row>
    <row r="587" spans="1:20 16371:16384" s="2" customFormat="1">
      <c r="A587" s="3"/>
      <c r="B587" s="4"/>
      <c r="C587" s="5"/>
      <c r="D587" s="15"/>
      <c r="E587" s="16"/>
      <c r="F587" s="3"/>
      <c r="G587" s="8"/>
      <c r="H587" s="8"/>
      <c r="I587" s="8"/>
      <c r="J587" s="9"/>
      <c r="K587" s="9"/>
      <c r="L587" s="9"/>
      <c r="M587" s="9"/>
      <c r="T587"/>
      <c r="XEQ587"/>
      <c r="XER587"/>
      <c r="XES587"/>
      <c r="XET587"/>
      <c r="XEU587"/>
      <c r="XEV587"/>
      <c r="XEW587"/>
      <c r="XEX587"/>
      <c r="XEY587"/>
      <c r="XEZ587"/>
      <c r="XFA587"/>
      <c r="XFB587"/>
      <c r="XFC587"/>
      <c r="XFD587"/>
    </row>
    <row r="588" spans="1:20 16371:16384" s="2" customFormat="1">
      <c r="A588" s="3"/>
      <c r="B588" s="4"/>
      <c r="C588" s="5"/>
      <c r="D588" s="15"/>
      <c r="E588" s="16"/>
      <c r="F588" s="3"/>
      <c r="G588" s="8"/>
      <c r="H588" s="8"/>
      <c r="I588" s="8"/>
      <c r="J588" s="9"/>
      <c r="K588" s="9"/>
      <c r="L588" s="9"/>
      <c r="M588" s="9"/>
      <c r="T588"/>
      <c r="XEQ588"/>
      <c r="XER588"/>
      <c r="XES588"/>
      <c r="XET588"/>
      <c r="XEU588"/>
      <c r="XEV588"/>
      <c r="XEW588"/>
      <c r="XEX588"/>
      <c r="XEY588"/>
      <c r="XEZ588"/>
      <c r="XFA588"/>
      <c r="XFB588"/>
      <c r="XFC588"/>
      <c r="XFD588"/>
    </row>
    <row r="589" spans="1:20 16371:16384" s="2" customFormat="1">
      <c r="A589" s="3"/>
      <c r="B589" s="4"/>
      <c r="C589" s="5"/>
      <c r="D589" s="15"/>
      <c r="E589" s="16"/>
      <c r="F589" s="3"/>
      <c r="G589" s="8"/>
      <c r="H589" s="8"/>
      <c r="I589" s="8"/>
      <c r="J589" s="9"/>
      <c r="K589" s="9"/>
      <c r="L589" s="9"/>
      <c r="M589" s="9"/>
      <c r="T589"/>
      <c r="XEQ589"/>
      <c r="XER589"/>
      <c r="XES589"/>
      <c r="XET589"/>
      <c r="XEU589"/>
      <c r="XEV589"/>
      <c r="XEW589"/>
      <c r="XEX589"/>
      <c r="XEY589"/>
      <c r="XEZ589"/>
      <c r="XFA589"/>
      <c r="XFB589"/>
      <c r="XFC589"/>
      <c r="XFD589"/>
    </row>
    <row r="590" spans="1:20 16371:16384" s="2" customFormat="1">
      <c r="A590" s="3"/>
      <c r="B590" s="4"/>
      <c r="C590" s="5"/>
      <c r="D590" s="15"/>
      <c r="E590" s="16"/>
      <c r="F590" s="3"/>
      <c r="G590" s="8"/>
      <c r="H590" s="8"/>
      <c r="I590" s="8"/>
      <c r="J590" s="9"/>
      <c r="K590" s="9"/>
      <c r="L590" s="9"/>
      <c r="M590" s="9"/>
      <c r="T590"/>
      <c r="XEQ590"/>
      <c r="XER590"/>
      <c r="XES590"/>
      <c r="XET590"/>
      <c r="XEU590"/>
      <c r="XEV590"/>
      <c r="XEW590"/>
      <c r="XEX590"/>
      <c r="XEY590"/>
      <c r="XEZ590"/>
      <c r="XFA590"/>
      <c r="XFB590"/>
      <c r="XFC590"/>
      <c r="XFD590"/>
    </row>
    <row r="591" spans="1:20 16371:16384" s="2" customFormat="1">
      <c r="A591" s="3"/>
      <c r="B591" s="4"/>
      <c r="C591" s="5"/>
      <c r="D591" s="15"/>
      <c r="E591" s="16"/>
      <c r="F591" s="3"/>
      <c r="G591" s="8"/>
      <c r="H591" s="8"/>
      <c r="I591" s="8"/>
      <c r="J591" s="9"/>
      <c r="K591" s="9"/>
      <c r="L591" s="9"/>
      <c r="M591" s="9"/>
      <c r="T591"/>
      <c r="XEQ591"/>
      <c r="XER591"/>
      <c r="XES591"/>
      <c r="XET591"/>
      <c r="XEU591"/>
      <c r="XEV591"/>
      <c r="XEW591"/>
      <c r="XEX591"/>
      <c r="XEY591"/>
      <c r="XEZ591"/>
      <c r="XFA591"/>
      <c r="XFB591"/>
      <c r="XFC591"/>
      <c r="XFD591"/>
    </row>
    <row r="592" spans="1:20 16371:16384" s="2" customFormat="1">
      <c r="A592" s="3"/>
      <c r="B592" s="4"/>
      <c r="C592" s="5"/>
      <c r="D592" s="15"/>
      <c r="E592" s="16"/>
      <c r="F592" s="3"/>
      <c r="G592" s="8"/>
      <c r="H592" s="8"/>
      <c r="I592" s="8"/>
      <c r="J592" s="9"/>
      <c r="K592" s="9"/>
      <c r="L592" s="9"/>
      <c r="M592" s="9"/>
      <c r="T592"/>
      <c r="XEQ592"/>
      <c r="XER592"/>
      <c r="XES592"/>
      <c r="XET592"/>
      <c r="XEU592"/>
      <c r="XEV592"/>
      <c r="XEW592"/>
      <c r="XEX592"/>
      <c r="XEY592"/>
      <c r="XEZ592"/>
      <c r="XFA592"/>
      <c r="XFB592"/>
      <c r="XFC592"/>
      <c r="XFD592"/>
    </row>
    <row r="593" spans="1:20 16371:16384" s="2" customFormat="1">
      <c r="A593" s="3"/>
      <c r="B593" s="4"/>
      <c r="C593" s="5"/>
      <c r="D593" s="15"/>
      <c r="E593" s="16"/>
      <c r="F593" s="3"/>
      <c r="G593" s="8"/>
      <c r="H593" s="8"/>
      <c r="I593" s="8"/>
      <c r="J593" s="9"/>
      <c r="K593" s="9"/>
      <c r="L593" s="9"/>
      <c r="M593" s="9"/>
      <c r="T593"/>
      <c r="XEQ593"/>
      <c r="XER593"/>
      <c r="XES593"/>
      <c r="XET593"/>
      <c r="XEU593"/>
      <c r="XEV593"/>
      <c r="XEW593"/>
      <c r="XEX593"/>
      <c r="XEY593"/>
      <c r="XEZ593"/>
      <c r="XFA593"/>
      <c r="XFB593"/>
      <c r="XFC593"/>
      <c r="XFD593"/>
    </row>
    <row r="594" spans="1:20 16371:16384" s="2" customFormat="1">
      <c r="A594" s="3"/>
      <c r="B594" s="4"/>
      <c r="C594" s="5"/>
      <c r="D594" s="15"/>
      <c r="E594" s="16"/>
      <c r="F594" s="3"/>
      <c r="G594" s="8"/>
      <c r="H594" s="8"/>
      <c r="I594" s="8"/>
      <c r="J594" s="9"/>
      <c r="K594" s="9"/>
      <c r="L594" s="9"/>
      <c r="M594" s="9"/>
      <c r="T594"/>
      <c r="XEQ594"/>
      <c r="XER594"/>
      <c r="XES594"/>
      <c r="XET594"/>
      <c r="XEU594"/>
      <c r="XEV594"/>
      <c r="XEW594"/>
      <c r="XEX594"/>
      <c r="XEY594"/>
      <c r="XEZ594"/>
      <c r="XFA594"/>
      <c r="XFB594"/>
      <c r="XFC594"/>
      <c r="XFD594"/>
    </row>
    <row r="595" spans="1:20 16371:16384" s="2" customFormat="1">
      <c r="A595" s="3"/>
      <c r="B595" s="4"/>
      <c r="C595" s="5"/>
      <c r="D595" s="15"/>
      <c r="E595" s="16"/>
      <c r="F595" s="3"/>
      <c r="G595" s="8"/>
      <c r="H595" s="8"/>
      <c r="I595" s="8"/>
      <c r="J595" s="9"/>
      <c r="K595" s="9"/>
      <c r="L595" s="9"/>
      <c r="M595" s="9"/>
      <c r="T595"/>
      <c r="XEQ595"/>
      <c r="XER595"/>
      <c r="XES595"/>
      <c r="XET595"/>
      <c r="XEU595"/>
      <c r="XEV595"/>
      <c r="XEW595"/>
      <c r="XEX595"/>
      <c r="XEY595"/>
      <c r="XEZ595"/>
      <c r="XFA595"/>
      <c r="XFB595"/>
      <c r="XFC595"/>
      <c r="XFD595"/>
    </row>
    <row r="596" spans="1:20 16371:16384" s="2" customFormat="1">
      <c r="A596" s="3"/>
      <c r="B596" s="4"/>
      <c r="C596" s="5"/>
      <c r="D596" s="15"/>
      <c r="E596" s="16"/>
      <c r="F596" s="3"/>
      <c r="G596" s="8"/>
      <c r="H596" s="8"/>
      <c r="I596" s="8"/>
      <c r="J596" s="9"/>
      <c r="K596" s="9"/>
      <c r="L596" s="9"/>
      <c r="M596" s="9"/>
      <c r="T596"/>
      <c r="XEQ596"/>
      <c r="XER596"/>
      <c r="XES596"/>
      <c r="XET596"/>
      <c r="XEU596"/>
      <c r="XEV596"/>
      <c r="XEW596"/>
      <c r="XEX596"/>
      <c r="XEY596"/>
      <c r="XEZ596"/>
      <c r="XFA596"/>
      <c r="XFB596"/>
      <c r="XFC596"/>
      <c r="XFD596"/>
    </row>
    <row r="597" spans="1:20 16371:16384" s="2" customFormat="1">
      <c r="A597" s="3"/>
      <c r="B597" s="4"/>
      <c r="C597" s="5"/>
      <c r="D597" s="15"/>
      <c r="E597" s="16"/>
      <c r="F597" s="3"/>
      <c r="G597" s="8"/>
      <c r="H597" s="8"/>
      <c r="I597" s="8"/>
      <c r="J597" s="9"/>
      <c r="K597" s="9"/>
      <c r="L597" s="9"/>
      <c r="M597" s="9"/>
      <c r="T597"/>
      <c r="XEQ597"/>
      <c r="XER597"/>
      <c r="XES597"/>
      <c r="XET597"/>
      <c r="XEU597"/>
      <c r="XEV597"/>
      <c r="XEW597"/>
      <c r="XEX597"/>
      <c r="XEY597"/>
      <c r="XEZ597"/>
      <c r="XFA597"/>
      <c r="XFB597"/>
      <c r="XFC597"/>
      <c r="XFD597"/>
    </row>
    <row r="598" spans="1:20 16371:16384" s="2" customFormat="1">
      <c r="A598" s="3"/>
      <c r="B598" s="4"/>
      <c r="C598" s="5"/>
      <c r="D598" s="15"/>
      <c r="E598" s="16"/>
      <c r="F598" s="3"/>
      <c r="G598" s="8"/>
      <c r="H598" s="8"/>
      <c r="I598" s="8"/>
      <c r="J598" s="9"/>
      <c r="K598" s="9"/>
      <c r="L598" s="9"/>
      <c r="M598" s="9"/>
      <c r="T598"/>
      <c r="XEQ598"/>
      <c r="XER598"/>
      <c r="XES598"/>
      <c r="XET598"/>
      <c r="XEU598"/>
      <c r="XEV598"/>
      <c r="XEW598"/>
      <c r="XEX598"/>
      <c r="XEY598"/>
      <c r="XEZ598"/>
      <c r="XFA598"/>
      <c r="XFB598"/>
      <c r="XFC598"/>
      <c r="XFD598"/>
    </row>
    <row r="599" spans="1:20 16371:16384" s="2" customFormat="1">
      <c r="A599" s="3"/>
      <c r="B599" s="4"/>
      <c r="C599" s="5"/>
      <c r="D599" s="15"/>
      <c r="E599" s="16"/>
      <c r="F599" s="3"/>
      <c r="G599" s="8"/>
      <c r="H599" s="8"/>
      <c r="I599" s="8"/>
      <c r="J599" s="9"/>
      <c r="K599" s="9"/>
      <c r="L599" s="9"/>
      <c r="M599" s="9"/>
      <c r="T599"/>
      <c r="XEQ599"/>
      <c r="XER599"/>
      <c r="XES599"/>
      <c r="XET599"/>
      <c r="XEU599"/>
      <c r="XEV599"/>
      <c r="XEW599"/>
      <c r="XEX599"/>
      <c r="XEY599"/>
      <c r="XEZ599"/>
      <c r="XFA599"/>
      <c r="XFB599"/>
      <c r="XFC599"/>
      <c r="XFD599"/>
    </row>
    <row r="600" spans="1:20 16371:16384" s="2" customFormat="1">
      <c r="A600" s="3"/>
      <c r="B600" s="4"/>
      <c r="C600" s="5"/>
      <c r="D600" s="15"/>
      <c r="E600" s="16"/>
      <c r="F600" s="3"/>
      <c r="G600" s="8"/>
      <c r="H600" s="8"/>
      <c r="I600" s="8"/>
      <c r="J600" s="9"/>
      <c r="K600" s="9"/>
      <c r="L600" s="9"/>
      <c r="M600" s="9"/>
      <c r="T600"/>
      <c r="XEQ600"/>
      <c r="XER600"/>
      <c r="XES600"/>
      <c r="XET600"/>
      <c r="XEU600"/>
      <c r="XEV600"/>
      <c r="XEW600"/>
      <c r="XEX600"/>
      <c r="XEY600"/>
      <c r="XEZ600"/>
      <c r="XFA600"/>
      <c r="XFB600"/>
      <c r="XFC600"/>
      <c r="XFD600"/>
    </row>
    <row r="601" spans="1:20 16371:16384" s="2" customFormat="1">
      <c r="A601" s="3"/>
      <c r="B601" s="4"/>
      <c r="C601" s="5"/>
      <c r="D601" s="15"/>
      <c r="E601" s="16"/>
      <c r="F601" s="3"/>
      <c r="G601" s="8"/>
      <c r="H601" s="8"/>
      <c r="I601" s="8"/>
      <c r="J601" s="9"/>
      <c r="K601" s="9"/>
      <c r="L601" s="9"/>
      <c r="M601" s="9"/>
      <c r="T601"/>
      <c r="XEQ601"/>
      <c r="XER601"/>
      <c r="XES601"/>
      <c r="XET601"/>
      <c r="XEU601"/>
      <c r="XEV601"/>
      <c r="XEW601"/>
      <c r="XEX601"/>
      <c r="XEY601"/>
      <c r="XEZ601"/>
      <c r="XFA601"/>
      <c r="XFB601"/>
      <c r="XFC601"/>
      <c r="XFD601"/>
    </row>
    <row r="602" spans="1:20 16371:16384" s="2" customFormat="1">
      <c r="A602" s="3"/>
      <c r="B602" s="4"/>
      <c r="C602" s="5"/>
      <c r="D602" s="15"/>
      <c r="E602" s="16"/>
      <c r="F602" s="3"/>
      <c r="G602" s="8"/>
      <c r="H602" s="8"/>
      <c r="I602" s="8"/>
      <c r="J602" s="9"/>
      <c r="K602" s="9"/>
      <c r="L602" s="9"/>
      <c r="M602" s="9"/>
      <c r="T602"/>
      <c r="XEQ602"/>
      <c r="XER602"/>
      <c r="XES602"/>
      <c r="XET602"/>
      <c r="XEU602"/>
      <c r="XEV602"/>
      <c r="XEW602"/>
      <c r="XEX602"/>
      <c r="XEY602"/>
      <c r="XEZ602"/>
      <c r="XFA602"/>
      <c r="XFB602"/>
      <c r="XFC602"/>
      <c r="XFD602"/>
    </row>
    <row r="603" spans="1:20 16371:16384" s="2" customFormat="1">
      <c r="A603" s="3"/>
      <c r="B603" s="4"/>
      <c r="C603" s="5"/>
      <c r="D603" s="15"/>
      <c r="E603" s="16"/>
      <c r="F603" s="3"/>
      <c r="G603" s="8"/>
      <c r="H603" s="8"/>
      <c r="I603" s="8"/>
      <c r="J603" s="9"/>
      <c r="K603" s="9"/>
      <c r="L603" s="9"/>
      <c r="M603" s="9"/>
      <c r="T603"/>
      <c r="XEQ603"/>
      <c r="XER603"/>
      <c r="XES603"/>
      <c r="XET603"/>
      <c r="XEU603"/>
      <c r="XEV603"/>
      <c r="XEW603"/>
      <c r="XEX603"/>
      <c r="XEY603"/>
      <c r="XEZ603"/>
      <c r="XFA603"/>
      <c r="XFB603"/>
      <c r="XFC603"/>
      <c r="XFD603"/>
    </row>
    <row r="604" spans="1:20 16371:16384" s="2" customFormat="1">
      <c r="A604" s="3"/>
      <c r="B604" s="4"/>
      <c r="C604" s="5"/>
      <c r="D604" s="15"/>
      <c r="E604" s="16"/>
      <c r="F604" s="3"/>
      <c r="G604" s="8"/>
      <c r="H604" s="8"/>
      <c r="I604" s="8"/>
      <c r="J604" s="9"/>
      <c r="K604" s="9"/>
      <c r="L604" s="9"/>
      <c r="M604" s="9"/>
      <c r="T604"/>
      <c r="XEQ604"/>
      <c r="XER604"/>
      <c r="XES604"/>
      <c r="XET604"/>
      <c r="XEU604"/>
      <c r="XEV604"/>
      <c r="XEW604"/>
      <c r="XEX604"/>
      <c r="XEY604"/>
      <c r="XEZ604"/>
      <c r="XFA604"/>
      <c r="XFB604"/>
      <c r="XFC604"/>
      <c r="XFD604"/>
    </row>
    <row r="605" spans="1:20 16371:16384" s="2" customFormat="1">
      <c r="A605" s="3"/>
      <c r="B605" s="4"/>
      <c r="C605" s="5"/>
      <c r="D605" s="15"/>
      <c r="E605" s="16"/>
      <c r="F605" s="3"/>
      <c r="G605" s="8"/>
      <c r="H605" s="8"/>
      <c r="I605" s="8"/>
      <c r="J605" s="9"/>
      <c r="K605" s="9"/>
      <c r="L605" s="9"/>
      <c r="M605" s="9"/>
      <c r="T605"/>
      <c r="XEQ605"/>
      <c r="XER605"/>
      <c r="XES605"/>
      <c r="XET605"/>
      <c r="XEU605"/>
      <c r="XEV605"/>
      <c r="XEW605"/>
      <c r="XEX605"/>
      <c r="XEY605"/>
      <c r="XEZ605"/>
      <c r="XFA605"/>
      <c r="XFB605"/>
      <c r="XFC605"/>
      <c r="XFD605"/>
    </row>
    <row r="606" spans="1:20 16371:16384" s="2" customFormat="1">
      <c r="A606" s="3"/>
      <c r="B606" s="4"/>
      <c r="C606" s="5"/>
      <c r="D606" s="15"/>
      <c r="E606" s="16"/>
      <c r="F606" s="3"/>
      <c r="G606" s="8"/>
      <c r="H606" s="8"/>
      <c r="I606" s="8"/>
      <c r="J606" s="9"/>
      <c r="K606" s="9"/>
      <c r="L606" s="9"/>
      <c r="M606" s="9"/>
      <c r="T606"/>
      <c r="XEQ606"/>
      <c r="XER606"/>
      <c r="XES606"/>
      <c r="XET606"/>
      <c r="XEU606"/>
      <c r="XEV606"/>
      <c r="XEW606"/>
      <c r="XEX606"/>
      <c r="XEY606"/>
      <c r="XEZ606"/>
      <c r="XFA606"/>
      <c r="XFB606"/>
      <c r="XFC606"/>
      <c r="XFD606"/>
    </row>
    <row r="607" spans="1:20 16371:16384" s="2" customFormat="1">
      <c r="A607" s="3"/>
      <c r="B607" s="4"/>
      <c r="C607" s="5"/>
      <c r="D607" s="15"/>
      <c r="E607" s="16"/>
      <c r="F607" s="3"/>
      <c r="G607" s="8"/>
      <c r="H607" s="8"/>
      <c r="I607" s="8"/>
      <c r="J607" s="9"/>
      <c r="K607" s="9"/>
      <c r="L607" s="9"/>
      <c r="M607" s="9"/>
      <c r="T607"/>
      <c r="XEQ607"/>
      <c r="XER607"/>
      <c r="XES607"/>
      <c r="XET607"/>
      <c r="XEU607"/>
      <c r="XEV607"/>
      <c r="XEW607"/>
      <c r="XEX607"/>
      <c r="XEY607"/>
      <c r="XEZ607"/>
      <c r="XFA607"/>
      <c r="XFB607"/>
      <c r="XFC607"/>
      <c r="XFD607"/>
    </row>
    <row r="608" spans="1:20 16371:16384" s="2" customFormat="1">
      <c r="A608" s="3"/>
      <c r="B608" s="4"/>
      <c r="C608" s="5"/>
      <c r="D608" s="15"/>
      <c r="E608" s="16"/>
      <c r="F608" s="3"/>
      <c r="G608" s="8"/>
      <c r="H608" s="8"/>
      <c r="I608" s="8"/>
      <c r="J608" s="9"/>
      <c r="K608" s="9"/>
      <c r="L608" s="9"/>
      <c r="M608" s="9"/>
      <c r="T608"/>
      <c r="XEQ608"/>
      <c r="XER608"/>
      <c r="XES608"/>
      <c r="XET608"/>
      <c r="XEU608"/>
      <c r="XEV608"/>
      <c r="XEW608"/>
      <c r="XEX608"/>
      <c r="XEY608"/>
      <c r="XEZ608"/>
      <c r="XFA608"/>
      <c r="XFB608"/>
      <c r="XFC608"/>
      <c r="XFD608"/>
    </row>
    <row r="609" spans="1:20 16371:16384" s="2" customFormat="1">
      <c r="A609" s="3"/>
      <c r="B609" s="4"/>
      <c r="C609" s="5"/>
      <c r="D609" s="15"/>
      <c r="E609" s="16"/>
      <c r="F609" s="3"/>
      <c r="G609" s="8"/>
      <c r="H609" s="8"/>
      <c r="I609" s="8"/>
      <c r="J609" s="9"/>
      <c r="K609" s="9"/>
      <c r="L609" s="9"/>
      <c r="M609" s="9"/>
      <c r="T609"/>
      <c r="XEQ609"/>
      <c r="XER609"/>
      <c r="XES609"/>
      <c r="XET609"/>
      <c r="XEU609"/>
      <c r="XEV609"/>
      <c r="XEW609"/>
      <c r="XEX609"/>
      <c r="XEY609"/>
      <c r="XEZ609"/>
      <c r="XFA609"/>
      <c r="XFB609"/>
      <c r="XFC609"/>
      <c r="XFD609"/>
    </row>
    <row r="610" spans="1:20 16371:16384" s="2" customFormat="1">
      <c r="A610" s="3"/>
      <c r="B610" s="4"/>
      <c r="C610" s="5"/>
      <c r="D610" s="15"/>
      <c r="E610" s="16"/>
      <c r="F610" s="3"/>
      <c r="G610" s="8"/>
      <c r="H610" s="8"/>
      <c r="I610" s="8"/>
      <c r="J610" s="9"/>
      <c r="K610" s="9"/>
      <c r="L610" s="9"/>
      <c r="M610" s="9"/>
      <c r="T610"/>
      <c r="XEQ610"/>
      <c r="XER610"/>
      <c r="XES610"/>
      <c r="XET610"/>
      <c r="XEU610"/>
      <c r="XEV610"/>
      <c r="XEW610"/>
      <c r="XEX610"/>
      <c r="XEY610"/>
      <c r="XEZ610"/>
      <c r="XFA610"/>
      <c r="XFB610"/>
      <c r="XFC610"/>
      <c r="XFD610"/>
    </row>
    <row r="611" spans="1:20 16371:16384" s="2" customFormat="1">
      <c r="A611" s="3"/>
      <c r="B611" s="4"/>
      <c r="C611" s="5"/>
      <c r="D611" s="15"/>
      <c r="E611" s="16"/>
      <c r="F611" s="3"/>
      <c r="G611" s="8"/>
      <c r="H611" s="8"/>
      <c r="I611" s="8"/>
      <c r="J611" s="9"/>
      <c r="K611" s="9"/>
      <c r="L611" s="9"/>
      <c r="M611" s="9"/>
      <c r="T611"/>
      <c r="XEQ611"/>
      <c r="XER611"/>
      <c r="XES611"/>
      <c r="XET611"/>
      <c r="XEU611"/>
      <c r="XEV611"/>
      <c r="XEW611"/>
      <c r="XEX611"/>
      <c r="XEY611"/>
      <c r="XEZ611"/>
      <c r="XFA611"/>
      <c r="XFB611"/>
      <c r="XFC611"/>
      <c r="XFD611"/>
    </row>
    <row r="612" spans="1:20 16371:16384" s="2" customFormat="1">
      <c r="A612" s="3"/>
      <c r="B612" s="4"/>
      <c r="C612" s="5"/>
      <c r="D612" s="15"/>
      <c r="E612" s="16"/>
      <c r="F612" s="3"/>
      <c r="G612" s="8"/>
      <c r="H612" s="8"/>
      <c r="I612" s="8"/>
      <c r="J612" s="9"/>
      <c r="K612" s="9"/>
      <c r="L612" s="9"/>
      <c r="M612" s="9"/>
      <c r="T612"/>
      <c r="XEQ612"/>
      <c r="XER612"/>
      <c r="XES612"/>
      <c r="XET612"/>
      <c r="XEU612"/>
      <c r="XEV612"/>
      <c r="XEW612"/>
      <c r="XEX612"/>
      <c r="XEY612"/>
      <c r="XEZ612"/>
      <c r="XFA612"/>
      <c r="XFB612"/>
      <c r="XFC612"/>
      <c r="XFD612"/>
    </row>
    <row r="613" spans="1:20 16371:16384" s="2" customFormat="1">
      <c r="A613" s="3"/>
      <c r="B613" s="4"/>
      <c r="C613" s="5"/>
      <c r="D613" s="15"/>
      <c r="E613" s="16"/>
      <c r="F613" s="3"/>
      <c r="G613" s="8"/>
      <c r="H613" s="8"/>
      <c r="I613" s="8"/>
      <c r="J613" s="9"/>
      <c r="K613" s="9"/>
      <c r="L613" s="9"/>
      <c r="M613" s="9"/>
      <c r="T613"/>
      <c r="XEQ613"/>
      <c r="XER613"/>
      <c r="XES613"/>
      <c r="XET613"/>
      <c r="XEU613"/>
      <c r="XEV613"/>
      <c r="XEW613"/>
      <c r="XEX613"/>
      <c r="XEY613"/>
      <c r="XEZ613"/>
      <c r="XFA613"/>
      <c r="XFB613"/>
      <c r="XFC613"/>
      <c r="XFD613"/>
    </row>
    <row r="614" spans="1:20 16371:16384" s="2" customFormat="1">
      <c r="A614" s="3"/>
      <c r="B614" s="4"/>
      <c r="C614" s="5"/>
      <c r="D614" s="15"/>
      <c r="E614" s="16"/>
      <c r="F614" s="3"/>
      <c r="G614" s="8"/>
      <c r="H614" s="8"/>
      <c r="I614" s="8"/>
      <c r="J614" s="9"/>
      <c r="K614" s="9"/>
      <c r="L614" s="9"/>
      <c r="M614" s="9"/>
      <c r="T614"/>
      <c r="XEQ614"/>
      <c r="XER614"/>
      <c r="XES614"/>
      <c r="XET614"/>
      <c r="XEU614"/>
      <c r="XEV614"/>
      <c r="XEW614"/>
      <c r="XEX614"/>
      <c r="XEY614"/>
      <c r="XEZ614"/>
      <c r="XFA614"/>
      <c r="XFB614"/>
      <c r="XFC614"/>
      <c r="XFD614"/>
    </row>
    <row r="615" spans="1:20 16371:16384" s="2" customFormat="1">
      <c r="A615" s="3"/>
      <c r="B615" s="4"/>
      <c r="C615" s="5"/>
      <c r="D615" s="15"/>
      <c r="E615" s="16"/>
      <c r="F615" s="3"/>
      <c r="G615" s="8"/>
      <c r="H615" s="8"/>
      <c r="I615" s="8"/>
      <c r="J615" s="9"/>
      <c r="K615" s="9"/>
      <c r="L615" s="9"/>
      <c r="M615" s="9"/>
      <c r="T615"/>
      <c r="XEQ615"/>
      <c r="XER615"/>
      <c r="XES615"/>
      <c r="XET615"/>
      <c r="XEU615"/>
      <c r="XEV615"/>
      <c r="XEW615"/>
      <c r="XEX615"/>
      <c r="XEY615"/>
      <c r="XEZ615"/>
      <c r="XFA615"/>
      <c r="XFB615"/>
      <c r="XFC615"/>
      <c r="XFD615"/>
    </row>
    <row r="616" spans="1:20 16371:16384" s="2" customFormat="1">
      <c r="A616" s="3"/>
      <c r="B616" s="4"/>
      <c r="C616" s="5"/>
      <c r="D616" s="15"/>
      <c r="E616" s="16"/>
      <c r="F616" s="3"/>
      <c r="G616" s="8"/>
      <c r="H616" s="8"/>
      <c r="I616" s="8"/>
      <c r="J616" s="9"/>
      <c r="K616" s="9"/>
      <c r="L616" s="9"/>
      <c r="M616" s="9"/>
      <c r="T616"/>
      <c r="XEQ616"/>
      <c r="XER616"/>
      <c r="XES616"/>
      <c r="XET616"/>
      <c r="XEU616"/>
      <c r="XEV616"/>
      <c r="XEW616"/>
      <c r="XEX616"/>
      <c r="XEY616"/>
      <c r="XEZ616"/>
      <c r="XFA616"/>
      <c r="XFB616"/>
      <c r="XFC616"/>
      <c r="XFD616"/>
    </row>
    <row r="617" spans="1:20 16371:16384" s="2" customFormat="1">
      <c r="A617" s="3"/>
      <c r="B617" s="4"/>
      <c r="C617" s="5"/>
      <c r="D617" s="15"/>
      <c r="E617" s="16"/>
      <c r="F617" s="3"/>
      <c r="G617" s="8"/>
      <c r="H617" s="8"/>
      <c r="I617" s="8"/>
      <c r="J617" s="9"/>
      <c r="K617" s="9"/>
      <c r="L617" s="9"/>
      <c r="M617" s="9"/>
      <c r="T617"/>
      <c r="XEQ617"/>
      <c r="XER617"/>
      <c r="XES617"/>
      <c r="XET617"/>
      <c r="XEU617"/>
      <c r="XEV617"/>
      <c r="XEW617"/>
      <c r="XEX617"/>
      <c r="XEY617"/>
      <c r="XEZ617"/>
      <c r="XFA617"/>
      <c r="XFB617"/>
      <c r="XFC617"/>
      <c r="XFD617"/>
    </row>
    <row r="618" spans="1:20 16371:16384" s="2" customFormat="1">
      <c r="A618" s="3"/>
      <c r="B618" s="4"/>
      <c r="C618" s="5"/>
      <c r="D618" s="15"/>
      <c r="E618" s="16"/>
      <c r="F618" s="3"/>
      <c r="G618" s="8"/>
      <c r="H618" s="8"/>
      <c r="I618" s="8"/>
      <c r="J618" s="9"/>
      <c r="K618" s="9"/>
      <c r="L618" s="9"/>
      <c r="M618" s="9"/>
      <c r="T618"/>
      <c r="XEQ618"/>
      <c r="XER618"/>
      <c r="XES618"/>
      <c r="XET618"/>
      <c r="XEU618"/>
      <c r="XEV618"/>
      <c r="XEW618"/>
      <c r="XEX618"/>
      <c r="XEY618"/>
      <c r="XEZ618"/>
      <c r="XFA618"/>
      <c r="XFB618"/>
      <c r="XFC618"/>
      <c r="XFD618"/>
    </row>
    <row r="619" spans="1:20 16371:16384" s="2" customFormat="1">
      <c r="A619" s="3"/>
      <c r="B619" s="4"/>
      <c r="C619" s="5"/>
      <c r="D619" s="15"/>
      <c r="E619" s="16"/>
      <c r="F619" s="3"/>
      <c r="G619" s="8"/>
      <c r="H619" s="8"/>
      <c r="I619" s="8"/>
      <c r="J619" s="9"/>
      <c r="K619" s="9"/>
      <c r="L619" s="9"/>
      <c r="M619" s="9"/>
      <c r="T619"/>
      <c r="XEQ619"/>
      <c r="XER619"/>
      <c r="XES619"/>
      <c r="XET619"/>
      <c r="XEU619"/>
      <c r="XEV619"/>
      <c r="XEW619"/>
      <c r="XEX619"/>
      <c r="XEY619"/>
      <c r="XEZ619"/>
      <c r="XFA619"/>
      <c r="XFB619"/>
      <c r="XFC619"/>
      <c r="XFD619"/>
    </row>
    <row r="620" spans="1:20 16371:16384" s="2" customFormat="1">
      <c r="A620" s="3"/>
      <c r="B620" s="4"/>
      <c r="C620" s="5"/>
      <c r="D620" s="15"/>
      <c r="E620" s="16"/>
      <c r="F620" s="3"/>
      <c r="G620" s="8"/>
      <c r="H620" s="8"/>
      <c r="I620" s="8"/>
      <c r="J620" s="9"/>
      <c r="K620" s="9"/>
      <c r="L620" s="9"/>
      <c r="M620" s="9"/>
      <c r="T620"/>
      <c r="XEQ620"/>
      <c r="XER620"/>
      <c r="XES620"/>
      <c r="XET620"/>
      <c r="XEU620"/>
      <c r="XEV620"/>
      <c r="XEW620"/>
      <c r="XEX620"/>
      <c r="XEY620"/>
      <c r="XEZ620"/>
      <c r="XFA620"/>
      <c r="XFB620"/>
      <c r="XFC620"/>
      <c r="XFD620"/>
    </row>
    <row r="621" spans="1:20 16371:16384" s="2" customFormat="1">
      <c r="A621" s="3"/>
      <c r="B621" s="4"/>
      <c r="C621" s="5"/>
      <c r="D621" s="15"/>
      <c r="E621" s="16"/>
      <c r="F621" s="3"/>
      <c r="G621" s="8"/>
      <c r="H621" s="8"/>
      <c r="I621" s="8"/>
      <c r="J621" s="9"/>
      <c r="K621" s="9"/>
      <c r="L621" s="9"/>
      <c r="M621" s="9"/>
      <c r="T621"/>
      <c r="XEQ621"/>
      <c r="XER621"/>
      <c r="XES621"/>
      <c r="XET621"/>
      <c r="XEU621"/>
      <c r="XEV621"/>
      <c r="XEW621"/>
      <c r="XEX621"/>
      <c r="XEY621"/>
      <c r="XEZ621"/>
      <c r="XFA621"/>
      <c r="XFB621"/>
      <c r="XFC621"/>
      <c r="XFD621"/>
    </row>
    <row r="622" spans="1:20 16371:16384" s="2" customFormat="1">
      <c r="A622" s="3"/>
      <c r="B622" s="4"/>
      <c r="C622" s="5"/>
      <c r="D622" s="15"/>
      <c r="E622" s="16"/>
      <c r="F622" s="3"/>
      <c r="G622" s="8"/>
      <c r="H622" s="8"/>
      <c r="I622" s="8"/>
      <c r="J622" s="9"/>
      <c r="K622" s="9"/>
      <c r="L622" s="9"/>
      <c r="M622" s="9"/>
      <c r="T622"/>
      <c r="XEQ622"/>
      <c r="XER622"/>
      <c r="XES622"/>
      <c r="XET622"/>
      <c r="XEU622"/>
      <c r="XEV622"/>
      <c r="XEW622"/>
      <c r="XEX622"/>
      <c r="XEY622"/>
      <c r="XEZ622"/>
      <c r="XFA622"/>
      <c r="XFB622"/>
      <c r="XFC622"/>
      <c r="XFD622"/>
    </row>
    <row r="623" spans="1:20 16371:16384" s="2" customFormat="1">
      <c r="A623" s="3"/>
      <c r="B623" s="4"/>
      <c r="C623" s="5"/>
      <c r="D623" s="15"/>
      <c r="E623" s="16"/>
      <c r="F623" s="3"/>
      <c r="G623" s="8"/>
      <c r="H623" s="8"/>
      <c r="I623" s="8"/>
      <c r="J623" s="9"/>
      <c r="K623" s="9"/>
      <c r="L623" s="9"/>
      <c r="M623" s="9"/>
      <c r="T623"/>
      <c r="XEQ623"/>
      <c r="XER623"/>
      <c r="XES623"/>
      <c r="XET623"/>
      <c r="XEU623"/>
      <c r="XEV623"/>
      <c r="XEW623"/>
      <c r="XEX623"/>
      <c r="XEY623"/>
      <c r="XEZ623"/>
      <c r="XFA623"/>
      <c r="XFB623"/>
      <c r="XFC623"/>
      <c r="XFD623"/>
    </row>
    <row r="624" spans="1:20 16371:16384" s="2" customFormat="1">
      <c r="A624" s="3"/>
      <c r="B624" s="4"/>
      <c r="C624" s="5"/>
      <c r="D624" s="15"/>
      <c r="E624" s="16"/>
      <c r="F624" s="3"/>
      <c r="G624" s="8"/>
      <c r="H624" s="8"/>
      <c r="I624" s="8"/>
      <c r="J624" s="9"/>
      <c r="K624" s="9"/>
      <c r="L624" s="9"/>
      <c r="M624" s="9"/>
      <c r="T624"/>
      <c r="XEQ624"/>
      <c r="XER624"/>
      <c r="XES624"/>
      <c r="XET624"/>
      <c r="XEU624"/>
      <c r="XEV624"/>
      <c r="XEW624"/>
      <c r="XEX624"/>
      <c r="XEY624"/>
      <c r="XEZ624"/>
      <c r="XFA624"/>
      <c r="XFB624"/>
      <c r="XFC624"/>
      <c r="XFD624"/>
    </row>
    <row r="625" spans="1:20 16371:16384" s="2" customFormat="1">
      <c r="A625" s="3"/>
      <c r="B625" s="4"/>
      <c r="C625" s="5"/>
      <c r="D625" s="15"/>
      <c r="E625" s="16"/>
      <c r="F625" s="3"/>
      <c r="G625" s="8"/>
      <c r="H625" s="8"/>
      <c r="I625" s="8"/>
      <c r="J625" s="9"/>
      <c r="K625" s="9"/>
      <c r="L625" s="9"/>
      <c r="M625" s="9"/>
      <c r="T625"/>
      <c r="XEQ625"/>
      <c r="XER625"/>
      <c r="XES625"/>
      <c r="XET625"/>
      <c r="XEU625"/>
      <c r="XEV625"/>
      <c r="XEW625"/>
      <c r="XEX625"/>
      <c r="XEY625"/>
      <c r="XEZ625"/>
      <c r="XFA625"/>
      <c r="XFB625"/>
      <c r="XFC625"/>
      <c r="XFD625"/>
    </row>
    <row r="626" spans="1:20 16371:16384" s="2" customFormat="1">
      <c r="A626" s="3"/>
      <c r="B626" s="4"/>
      <c r="C626" s="5"/>
      <c r="D626" s="15"/>
      <c r="E626" s="16"/>
      <c r="F626" s="3"/>
      <c r="G626" s="8"/>
      <c r="H626" s="8"/>
      <c r="I626" s="8"/>
      <c r="J626" s="9"/>
      <c r="K626" s="9"/>
      <c r="L626" s="9"/>
      <c r="M626" s="9"/>
      <c r="T626"/>
      <c r="XEQ626"/>
      <c r="XER626"/>
      <c r="XES626"/>
      <c r="XET626"/>
      <c r="XEU626"/>
      <c r="XEV626"/>
      <c r="XEW626"/>
      <c r="XEX626"/>
      <c r="XEY626"/>
      <c r="XEZ626"/>
      <c r="XFA626"/>
      <c r="XFB626"/>
      <c r="XFC626"/>
      <c r="XFD626"/>
    </row>
    <row r="627" spans="1:20 16371:16384" s="2" customFormat="1">
      <c r="A627" s="3"/>
      <c r="B627" s="4"/>
      <c r="C627" s="5"/>
      <c r="D627" s="15"/>
      <c r="E627" s="16"/>
      <c r="F627" s="3"/>
      <c r="G627" s="8"/>
      <c r="H627" s="8"/>
      <c r="I627" s="8"/>
      <c r="J627" s="9"/>
      <c r="K627" s="9"/>
      <c r="L627" s="9"/>
      <c r="M627" s="9"/>
      <c r="T627"/>
      <c r="XEQ627"/>
      <c r="XER627"/>
      <c r="XES627"/>
      <c r="XET627"/>
      <c r="XEU627"/>
      <c r="XEV627"/>
      <c r="XEW627"/>
      <c r="XEX627"/>
      <c r="XEY627"/>
      <c r="XEZ627"/>
      <c r="XFA627"/>
      <c r="XFB627"/>
      <c r="XFC627"/>
      <c r="XFD627"/>
    </row>
    <row r="628" spans="1:20 16371:16384" s="2" customFormat="1">
      <c r="A628" s="3"/>
      <c r="B628" s="4"/>
      <c r="C628" s="5"/>
      <c r="D628" s="15"/>
      <c r="E628" s="16"/>
      <c r="F628" s="3"/>
      <c r="G628" s="8"/>
      <c r="H628" s="8"/>
      <c r="I628" s="8"/>
      <c r="J628" s="9"/>
      <c r="K628" s="9"/>
      <c r="L628" s="9"/>
      <c r="M628" s="9"/>
      <c r="T628"/>
      <c r="XEQ628"/>
      <c r="XER628"/>
      <c r="XES628"/>
      <c r="XET628"/>
      <c r="XEU628"/>
      <c r="XEV628"/>
      <c r="XEW628"/>
      <c r="XEX628"/>
      <c r="XEY628"/>
      <c r="XEZ628"/>
      <c r="XFA628"/>
      <c r="XFB628"/>
      <c r="XFC628"/>
      <c r="XFD628"/>
    </row>
    <row r="629" spans="1:20 16371:16384" s="2" customFormat="1">
      <c r="A629" s="3"/>
      <c r="B629" s="4"/>
      <c r="C629" s="5"/>
      <c r="D629" s="15"/>
      <c r="E629" s="16"/>
      <c r="F629" s="3"/>
      <c r="G629" s="8"/>
      <c r="H629" s="8"/>
      <c r="I629" s="8"/>
      <c r="J629" s="9"/>
      <c r="K629" s="9"/>
      <c r="L629" s="9"/>
      <c r="M629" s="9"/>
      <c r="T629"/>
      <c r="XEQ629"/>
      <c r="XER629"/>
      <c r="XES629"/>
      <c r="XET629"/>
      <c r="XEU629"/>
      <c r="XEV629"/>
      <c r="XEW629"/>
      <c r="XEX629"/>
      <c r="XEY629"/>
      <c r="XEZ629"/>
      <c r="XFA629"/>
      <c r="XFB629"/>
      <c r="XFC629"/>
      <c r="XFD629"/>
    </row>
    <row r="630" spans="1:20 16371:16384" s="2" customFormat="1">
      <c r="A630" s="3"/>
      <c r="B630" s="4"/>
      <c r="C630" s="5"/>
      <c r="D630" s="15"/>
      <c r="E630" s="16"/>
      <c r="F630" s="3"/>
      <c r="G630" s="8"/>
      <c r="H630" s="8"/>
      <c r="I630" s="8"/>
      <c r="J630" s="9"/>
      <c r="K630" s="9"/>
      <c r="L630" s="9"/>
      <c r="M630" s="9"/>
      <c r="T630"/>
      <c r="XEQ630"/>
      <c r="XER630"/>
      <c r="XES630"/>
      <c r="XET630"/>
      <c r="XEU630"/>
      <c r="XEV630"/>
      <c r="XEW630"/>
      <c r="XEX630"/>
      <c r="XEY630"/>
      <c r="XEZ630"/>
      <c r="XFA630"/>
      <c r="XFB630"/>
      <c r="XFC630"/>
      <c r="XFD630"/>
    </row>
    <row r="631" spans="1:20 16371:16384" s="2" customFormat="1">
      <c r="A631" s="3"/>
      <c r="B631" s="4"/>
      <c r="C631" s="5"/>
      <c r="D631" s="15"/>
      <c r="E631" s="16"/>
      <c r="F631" s="3"/>
      <c r="G631" s="8"/>
      <c r="H631" s="8"/>
      <c r="I631" s="8"/>
      <c r="J631" s="9"/>
      <c r="K631" s="9"/>
      <c r="L631" s="9"/>
      <c r="M631" s="9"/>
      <c r="T631"/>
      <c r="XEQ631"/>
      <c r="XER631"/>
      <c r="XES631"/>
      <c r="XET631"/>
      <c r="XEU631"/>
      <c r="XEV631"/>
      <c r="XEW631"/>
      <c r="XEX631"/>
      <c r="XEY631"/>
      <c r="XEZ631"/>
      <c r="XFA631"/>
      <c r="XFB631"/>
      <c r="XFC631"/>
      <c r="XFD631"/>
    </row>
    <row r="632" spans="1:20 16371:16384" s="2" customFormat="1">
      <c r="A632" s="3"/>
      <c r="B632" s="4"/>
      <c r="C632" s="5"/>
      <c r="D632" s="15"/>
      <c r="E632" s="16"/>
      <c r="F632" s="3"/>
      <c r="G632" s="8"/>
      <c r="H632" s="8"/>
      <c r="I632" s="8"/>
      <c r="J632" s="9"/>
      <c r="K632" s="9"/>
      <c r="L632" s="9"/>
      <c r="M632" s="9"/>
      <c r="T632"/>
      <c r="XEQ632"/>
      <c r="XER632"/>
      <c r="XES632"/>
      <c r="XET632"/>
      <c r="XEU632"/>
      <c r="XEV632"/>
      <c r="XEW632"/>
      <c r="XEX632"/>
      <c r="XEY632"/>
      <c r="XEZ632"/>
      <c r="XFA632"/>
      <c r="XFB632"/>
      <c r="XFC632"/>
      <c r="XFD632"/>
    </row>
    <row r="633" spans="1:20 16371:16384" s="2" customFormat="1">
      <c r="A633" s="3"/>
      <c r="B633" s="4"/>
      <c r="C633" s="5"/>
      <c r="D633" s="15"/>
      <c r="E633" s="16"/>
      <c r="F633" s="3"/>
      <c r="G633" s="8"/>
      <c r="H633" s="8"/>
      <c r="I633" s="8"/>
      <c r="J633" s="9"/>
      <c r="K633" s="9"/>
      <c r="L633" s="9"/>
      <c r="M633" s="9"/>
      <c r="T633"/>
      <c r="XEQ633"/>
      <c r="XER633"/>
      <c r="XES633"/>
      <c r="XET633"/>
      <c r="XEU633"/>
      <c r="XEV633"/>
      <c r="XEW633"/>
      <c r="XEX633"/>
      <c r="XEY633"/>
      <c r="XEZ633"/>
      <c r="XFA633"/>
      <c r="XFB633"/>
      <c r="XFC633"/>
      <c r="XFD633"/>
    </row>
    <row r="634" spans="1:20 16371:16384" s="2" customFormat="1">
      <c r="A634" s="3"/>
      <c r="B634" s="4"/>
      <c r="C634" s="5"/>
      <c r="D634" s="15"/>
      <c r="E634" s="16"/>
      <c r="F634" s="3"/>
      <c r="G634" s="8"/>
      <c r="H634" s="8"/>
      <c r="I634" s="8"/>
      <c r="J634" s="9"/>
      <c r="K634" s="9"/>
      <c r="L634" s="9"/>
      <c r="M634" s="9"/>
      <c r="T634"/>
      <c r="XEQ634"/>
      <c r="XER634"/>
      <c r="XES634"/>
      <c r="XET634"/>
      <c r="XEU634"/>
      <c r="XEV634"/>
      <c r="XEW634"/>
      <c r="XEX634"/>
      <c r="XEY634"/>
      <c r="XEZ634"/>
      <c r="XFA634"/>
      <c r="XFB634"/>
      <c r="XFC634"/>
      <c r="XFD634"/>
    </row>
    <row r="635" spans="1:20 16371:16384" s="2" customFormat="1">
      <c r="A635" s="3"/>
      <c r="B635" s="4"/>
      <c r="C635" s="5"/>
      <c r="D635" s="15"/>
      <c r="E635" s="16"/>
      <c r="F635" s="3"/>
      <c r="G635" s="8"/>
      <c r="H635" s="8"/>
      <c r="I635" s="8"/>
      <c r="J635" s="9"/>
      <c r="K635" s="9"/>
      <c r="L635" s="9"/>
      <c r="M635" s="9"/>
      <c r="T635"/>
      <c r="XEQ635"/>
      <c r="XER635"/>
      <c r="XES635"/>
      <c r="XET635"/>
      <c r="XEU635"/>
      <c r="XEV635"/>
      <c r="XEW635"/>
      <c r="XEX635"/>
      <c r="XEY635"/>
      <c r="XEZ635"/>
      <c r="XFA635"/>
      <c r="XFB635"/>
      <c r="XFC635"/>
      <c r="XFD635"/>
    </row>
    <row r="636" spans="1:20 16371:16384" s="2" customFormat="1">
      <c r="A636" s="3"/>
      <c r="B636" s="4"/>
      <c r="C636" s="5"/>
      <c r="D636" s="15"/>
      <c r="E636" s="16"/>
      <c r="F636" s="3"/>
      <c r="G636" s="8"/>
      <c r="H636" s="8"/>
      <c r="I636" s="8"/>
      <c r="J636" s="9"/>
      <c r="K636" s="9"/>
      <c r="L636" s="9"/>
      <c r="M636" s="9"/>
      <c r="T636"/>
      <c r="XEQ636"/>
      <c r="XER636"/>
      <c r="XES636"/>
      <c r="XET636"/>
      <c r="XEU636"/>
      <c r="XEV636"/>
      <c r="XEW636"/>
      <c r="XEX636"/>
      <c r="XEY636"/>
      <c r="XEZ636"/>
      <c r="XFA636"/>
      <c r="XFB636"/>
      <c r="XFC636"/>
      <c r="XFD636"/>
    </row>
    <row r="637" spans="1:20 16371:16384" s="2" customFormat="1">
      <c r="A637" s="3"/>
      <c r="B637" s="4"/>
      <c r="C637" s="5"/>
      <c r="D637" s="15"/>
      <c r="E637" s="16"/>
      <c r="F637" s="3"/>
      <c r="G637" s="8"/>
      <c r="H637" s="8"/>
      <c r="I637" s="8"/>
      <c r="J637" s="9"/>
      <c r="K637" s="9"/>
      <c r="L637" s="9"/>
      <c r="M637" s="9"/>
      <c r="T637"/>
      <c r="XEQ637"/>
      <c r="XER637"/>
      <c r="XES637"/>
      <c r="XET637"/>
      <c r="XEU637"/>
      <c r="XEV637"/>
      <c r="XEW637"/>
      <c r="XEX637"/>
      <c r="XEY637"/>
      <c r="XEZ637"/>
      <c r="XFA637"/>
      <c r="XFB637"/>
      <c r="XFC637"/>
      <c r="XFD637"/>
    </row>
    <row r="638" spans="1:20 16371:16384" s="2" customFormat="1">
      <c r="A638" s="3"/>
      <c r="B638" s="4"/>
      <c r="C638" s="5"/>
      <c r="D638" s="15"/>
      <c r="E638" s="16"/>
      <c r="F638" s="3"/>
      <c r="G638" s="8"/>
      <c r="H638" s="8"/>
      <c r="I638" s="8"/>
      <c r="J638" s="9"/>
      <c r="K638" s="9"/>
      <c r="L638" s="9"/>
      <c r="M638" s="9"/>
      <c r="T638"/>
      <c r="XEQ638"/>
      <c r="XER638"/>
      <c r="XES638"/>
      <c r="XET638"/>
      <c r="XEU638"/>
      <c r="XEV638"/>
      <c r="XEW638"/>
      <c r="XEX638"/>
      <c r="XEY638"/>
      <c r="XEZ638"/>
      <c r="XFA638"/>
      <c r="XFB638"/>
      <c r="XFC638"/>
      <c r="XFD638"/>
    </row>
    <row r="639" spans="1:20 16371:16384" s="2" customFormat="1">
      <c r="A639" s="3"/>
      <c r="B639" s="4"/>
      <c r="C639" s="5"/>
      <c r="D639" s="15"/>
      <c r="E639" s="16"/>
      <c r="F639" s="3"/>
      <c r="G639" s="8"/>
      <c r="H639" s="8"/>
      <c r="I639" s="8"/>
      <c r="J639" s="9"/>
      <c r="K639" s="9"/>
      <c r="L639" s="9"/>
      <c r="M639" s="9"/>
      <c r="T639"/>
      <c r="XEQ639"/>
      <c r="XER639"/>
      <c r="XES639"/>
      <c r="XET639"/>
      <c r="XEU639"/>
      <c r="XEV639"/>
      <c r="XEW639"/>
      <c r="XEX639"/>
      <c r="XEY639"/>
      <c r="XEZ639"/>
      <c r="XFA639"/>
      <c r="XFB639"/>
      <c r="XFC639"/>
      <c r="XFD639"/>
    </row>
    <row r="640" spans="1:20 16371:16384" s="2" customFormat="1">
      <c r="A640" s="3"/>
      <c r="B640" s="4"/>
      <c r="C640" s="5"/>
      <c r="D640" s="15"/>
      <c r="E640" s="16"/>
      <c r="F640" s="3"/>
      <c r="G640" s="8"/>
      <c r="H640" s="8"/>
      <c r="I640" s="8"/>
      <c r="J640" s="9"/>
      <c r="K640" s="9"/>
      <c r="L640" s="9"/>
      <c r="M640" s="9"/>
      <c r="T640"/>
      <c r="XEQ640"/>
      <c r="XER640"/>
      <c r="XES640"/>
      <c r="XET640"/>
      <c r="XEU640"/>
      <c r="XEV640"/>
      <c r="XEW640"/>
      <c r="XEX640"/>
      <c r="XEY640"/>
      <c r="XEZ640"/>
      <c r="XFA640"/>
      <c r="XFB640"/>
      <c r="XFC640"/>
      <c r="XFD640"/>
    </row>
    <row r="641" spans="1:20 16371:16384" s="2" customFormat="1">
      <c r="A641" s="3"/>
      <c r="B641" s="4"/>
      <c r="C641" s="5"/>
      <c r="D641" s="15"/>
      <c r="E641" s="16"/>
      <c r="F641" s="3"/>
      <c r="G641" s="8"/>
      <c r="H641" s="8"/>
      <c r="I641" s="8"/>
      <c r="J641" s="9"/>
      <c r="K641" s="9"/>
      <c r="L641" s="9"/>
      <c r="M641" s="9"/>
      <c r="T641"/>
      <c r="XEQ641"/>
      <c r="XER641"/>
      <c r="XES641"/>
      <c r="XET641"/>
      <c r="XEU641"/>
      <c r="XEV641"/>
      <c r="XEW641"/>
      <c r="XEX641"/>
      <c r="XEY641"/>
      <c r="XEZ641"/>
      <c r="XFA641"/>
      <c r="XFB641"/>
      <c r="XFC641"/>
      <c r="XFD641"/>
    </row>
    <row r="642" spans="1:20 16371:16384" s="2" customFormat="1">
      <c r="A642" s="3"/>
      <c r="B642" s="4"/>
      <c r="C642" s="5"/>
      <c r="D642" s="15"/>
      <c r="E642" s="16"/>
      <c r="F642" s="3"/>
      <c r="G642" s="8"/>
      <c r="H642" s="8"/>
      <c r="I642" s="8"/>
      <c r="J642" s="9"/>
      <c r="K642" s="9"/>
      <c r="L642" s="9"/>
      <c r="M642" s="9"/>
      <c r="T642"/>
      <c r="XEQ642"/>
      <c r="XER642"/>
      <c r="XES642"/>
      <c r="XET642"/>
      <c r="XEU642"/>
      <c r="XEV642"/>
      <c r="XEW642"/>
      <c r="XEX642"/>
      <c r="XEY642"/>
      <c r="XEZ642"/>
      <c r="XFA642"/>
      <c r="XFB642"/>
      <c r="XFC642"/>
      <c r="XFD642"/>
    </row>
    <row r="643" spans="1:20 16371:16384" s="2" customFormat="1">
      <c r="A643" s="3"/>
      <c r="B643" s="4"/>
      <c r="C643" s="5"/>
      <c r="D643" s="15"/>
      <c r="E643" s="16"/>
      <c r="F643" s="3"/>
      <c r="G643" s="8"/>
      <c r="H643" s="8"/>
      <c r="I643" s="8"/>
      <c r="J643" s="9"/>
      <c r="K643" s="9"/>
      <c r="L643" s="9"/>
      <c r="M643" s="9"/>
      <c r="T643"/>
      <c r="XEQ643"/>
      <c r="XER643"/>
      <c r="XES643"/>
      <c r="XET643"/>
      <c r="XEU643"/>
      <c r="XEV643"/>
      <c r="XEW643"/>
      <c r="XEX643"/>
      <c r="XEY643"/>
      <c r="XEZ643"/>
      <c r="XFA643"/>
      <c r="XFB643"/>
      <c r="XFC643"/>
      <c r="XFD643"/>
    </row>
    <row r="644" spans="1:20 16371:16384" s="2" customFormat="1">
      <c r="A644" s="3"/>
      <c r="B644" s="4"/>
      <c r="C644" s="5"/>
      <c r="D644" s="15"/>
      <c r="E644" s="16"/>
      <c r="F644" s="3"/>
      <c r="G644" s="8"/>
      <c r="H644" s="8"/>
      <c r="I644" s="8"/>
      <c r="J644" s="9"/>
      <c r="K644" s="9"/>
      <c r="L644" s="9"/>
      <c r="M644" s="9"/>
      <c r="T644"/>
      <c r="XEQ644"/>
      <c r="XER644"/>
      <c r="XES644"/>
      <c r="XET644"/>
      <c r="XEU644"/>
      <c r="XEV644"/>
      <c r="XEW644"/>
      <c r="XEX644"/>
      <c r="XEY644"/>
      <c r="XEZ644"/>
      <c r="XFA644"/>
      <c r="XFB644"/>
      <c r="XFC644"/>
      <c r="XFD644"/>
    </row>
    <row r="645" spans="1:20 16371:16384" s="2" customFormat="1">
      <c r="A645" s="3"/>
      <c r="B645" s="4"/>
      <c r="C645" s="5"/>
      <c r="D645" s="15"/>
      <c r="E645" s="16"/>
      <c r="F645" s="3"/>
      <c r="G645" s="8"/>
      <c r="H645" s="8"/>
      <c r="I645" s="8"/>
      <c r="J645" s="9"/>
      <c r="K645" s="9"/>
      <c r="L645" s="9"/>
      <c r="M645" s="9"/>
      <c r="T645"/>
      <c r="XEQ645"/>
      <c r="XER645"/>
      <c r="XES645"/>
      <c r="XET645"/>
      <c r="XEU645"/>
      <c r="XEV645"/>
      <c r="XEW645"/>
      <c r="XEX645"/>
      <c r="XEY645"/>
      <c r="XEZ645"/>
      <c r="XFA645"/>
      <c r="XFB645"/>
      <c r="XFC645"/>
      <c r="XFD645"/>
    </row>
    <row r="646" spans="1:20 16371:16384" s="2" customFormat="1">
      <c r="A646" s="3"/>
      <c r="B646" s="4"/>
      <c r="C646" s="5"/>
      <c r="D646" s="15"/>
      <c r="E646" s="16"/>
      <c r="F646" s="3"/>
      <c r="G646" s="8"/>
      <c r="H646" s="8"/>
      <c r="I646" s="8"/>
      <c r="J646" s="9"/>
      <c r="K646" s="9"/>
      <c r="L646" s="9"/>
      <c r="M646" s="9"/>
      <c r="T646"/>
      <c r="XEQ646"/>
      <c r="XER646"/>
      <c r="XES646"/>
      <c r="XET646"/>
      <c r="XEU646"/>
      <c r="XEV646"/>
      <c r="XEW646"/>
      <c r="XEX646"/>
      <c r="XEY646"/>
      <c r="XEZ646"/>
      <c r="XFA646"/>
      <c r="XFB646"/>
      <c r="XFC646"/>
      <c r="XFD646"/>
    </row>
    <row r="647" spans="1:20 16371:16384" s="2" customFormat="1">
      <c r="A647" s="3"/>
      <c r="B647" s="4"/>
      <c r="C647" s="5"/>
      <c r="D647" s="15"/>
      <c r="E647" s="16"/>
      <c r="F647" s="3"/>
      <c r="G647" s="8"/>
      <c r="H647" s="8"/>
      <c r="I647" s="8"/>
      <c r="J647" s="9"/>
      <c r="K647" s="9"/>
      <c r="L647" s="9"/>
      <c r="M647" s="9"/>
      <c r="T647"/>
      <c r="XEQ647"/>
      <c r="XER647"/>
      <c r="XES647"/>
      <c r="XET647"/>
      <c r="XEU647"/>
      <c r="XEV647"/>
      <c r="XEW647"/>
      <c r="XEX647"/>
      <c r="XEY647"/>
      <c r="XEZ647"/>
      <c r="XFA647"/>
      <c r="XFB647"/>
      <c r="XFC647"/>
      <c r="XFD647"/>
    </row>
    <row r="648" spans="1:20 16371:16384" s="2" customFormat="1">
      <c r="A648" s="3"/>
      <c r="B648" s="4"/>
      <c r="C648" s="5"/>
      <c r="D648" s="15"/>
      <c r="E648" s="16"/>
      <c r="F648" s="3"/>
      <c r="G648" s="8"/>
      <c r="H648" s="8"/>
      <c r="I648" s="8"/>
      <c r="J648" s="9"/>
      <c r="K648" s="9"/>
      <c r="L648" s="9"/>
      <c r="M648" s="9"/>
      <c r="T648"/>
      <c r="XEQ648"/>
      <c r="XER648"/>
      <c r="XES648"/>
      <c r="XET648"/>
      <c r="XEU648"/>
      <c r="XEV648"/>
      <c r="XEW648"/>
      <c r="XEX648"/>
      <c r="XEY648"/>
      <c r="XEZ648"/>
      <c r="XFA648"/>
      <c r="XFB648"/>
      <c r="XFC648"/>
      <c r="XFD648"/>
    </row>
    <row r="649" spans="1:20 16371:16384" s="2" customFormat="1">
      <c r="A649" s="3"/>
      <c r="B649" s="4"/>
      <c r="C649" s="5"/>
      <c r="D649" s="15"/>
      <c r="E649" s="16"/>
      <c r="F649" s="3"/>
      <c r="G649" s="8"/>
      <c r="H649" s="8"/>
      <c r="I649" s="8"/>
      <c r="J649" s="9"/>
      <c r="K649" s="9"/>
      <c r="L649" s="9"/>
      <c r="M649" s="9"/>
      <c r="T649"/>
      <c r="XEQ649"/>
      <c r="XER649"/>
      <c r="XES649"/>
      <c r="XET649"/>
      <c r="XEU649"/>
      <c r="XEV649"/>
      <c r="XEW649"/>
      <c r="XEX649"/>
      <c r="XEY649"/>
      <c r="XEZ649"/>
      <c r="XFA649"/>
      <c r="XFB649"/>
      <c r="XFC649"/>
      <c r="XFD649"/>
    </row>
    <row r="650" spans="1:20 16371:16384" s="2" customFormat="1">
      <c r="A650" s="3"/>
      <c r="B650" s="4"/>
      <c r="C650" s="5"/>
      <c r="D650" s="15"/>
      <c r="E650" s="16"/>
      <c r="F650" s="3"/>
      <c r="G650" s="8"/>
      <c r="H650" s="8"/>
      <c r="I650" s="8"/>
      <c r="J650" s="9"/>
      <c r="K650" s="9"/>
      <c r="L650" s="9"/>
      <c r="M650" s="9"/>
      <c r="T650"/>
      <c r="XEQ650"/>
      <c r="XER650"/>
      <c r="XES650"/>
      <c r="XET650"/>
      <c r="XEU650"/>
      <c r="XEV650"/>
      <c r="XEW650"/>
      <c r="XEX650"/>
      <c r="XEY650"/>
      <c r="XEZ650"/>
      <c r="XFA650"/>
      <c r="XFB650"/>
      <c r="XFC650"/>
      <c r="XFD650"/>
    </row>
    <row r="651" spans="1:20 16371:16384" s="2" customFormat="1">
      <c r="A651" s="3"/>
      <c r="B651" s="4"/>
      <c r="C651" s="5"/>
      <c r="D651" s="15"/>
      <c r="E651" s="16"/>
      <c r="F651" s="3"/>
      <c r="G651" s="8"/>
      <c r="H651" s="8"/>
      <c r="I651" s="8"/>
      <c r="J651" s="9"/>
      <c r="K651" s="9"/>
      <c r="L651" s="9"/>
      <c r="M651" s="9"/>
      <c r="T651"/>
      <c r="XEQ651"/>
      <c r="XER651"/>
      <c r="XES651"/>
      <c r="XET651"/>
      <c r="XEU651"/>
      <c r="XEV651"/>
      <c r="XEW651"/>
      <c r="XEX651"/>
      <c r="XEY651"/>
      <c r="XEZ651"/>
      <c r="XFA651"/>
      <c r="XFB651"/>
      <c r="XFC651"/>
      <c r="XFD651"/>
    </row>
    <row r="652" spans="1:20 16371:16384" s="2" customFormat="1">
      <c r="A652" s="3"/>
      <c r="B652" s="4"/>
      <c r="C652" s="5"/>
      <c r="D652" s="15"/>
      <c r="E652" s="16"/>
      <c r="F652" s="3"/>
      <c r="G652" s="8"/>
      <c r="H652" s="8"/>
      <c r="I652" s="8"/>
      <c r="J652" s="9"/>
      <c r="K652" s="9"/>
      <c r="L652" s="9"/>
      <c r="M652" s="9"/>
      <c r="T652"/>
      <c r="XEQ652"/>
      <c r="XER652"/>
      <c r="XES652"/>
      <c r="XET652"/>
      <c r="XEU652"/>
      <c r="XEV652"/>
      <c r="XEW652"/>
      <c r="XEX652"/>
      <c r="XEY652"/>
      <c r="XEZ652"/>
      <c r="XFA652"/>
      <c r="XFB652"/>
      <c r="XFC652"/>
      <c r="XFD652"/>
    </row>
    <row r="653" spans="1:20 16371:16384" s="2" customFormat="1">
      <c r="A653" s="3"/>
      <c r="B653" s="4"/>
      <c r="C653" s="5"/>
      <c r="D653" s="15"/>
      <c r="E653" s="16"/>
      <c r="F653" s="3"/>
      <c r="G653" s="8"/>
      <c r="H653" s="8"/>
      <c r="I653" s="8"/>
      <c r="J653" s="9"/>
      <c r="K653" s="9"/>
      <c r="L653" s="9"/>
      <c r="M653" s="9"/>
      <c r="T653"/>
      <c r="XEQ653"/>
      <c r="XER653"/>
      <c r="XES653"/>
      <c r="XET653"/>
      <c r="XEU653"/>
      <c r="XEV653"/>
      <c r="XEW653"/>
      <c r="XEX653"/>
      <c r="XEY653"/>
      <c r="XEZ653"/>
      <c r="XFA653"/>
      <c r="XFB653"/>
      <c r="XFC653"/>
      <c r="XFD653"/>
    </row>
    <row r="654" spans="1:20 16371:16384" s="2" customFormat="1">
      <c r="A654" s="3"/>
      <c r="B654" s="4"/>
      <c r="C654" s="5"/>
      <c r="D654" s="15"/>
      <c r="E654" s="16"/>
      <c r="F654" s="3"/>
      <c r="G654" s="8"/>
      <c r="H654" s="8"/>
      <c r="I654" s="8"/>
      <c r="J654" s="9"/>
      <c r="K654" s="9"/>
      <c r="L654" s="9"/>
      <c r="M654" s="9"/>
      <c r="T654"/>
      <c r="XEQ654"/>
      <c r="XER654"/>
      <c r="XES654"/>
      <c r="XET654"/>
      <c r="XEU654"/>
      <c r="XEV654"/>
      <c r="XEW654"/>
      <c r="XEX654"/>
      <c r="XEY654"/>
      <c r="XEZ654"/>
      <c r="XFA654"/>
      <c r="XFB654"/>
      <c r="XFC654"/>
      <c r="XFD654"/>
    </row>
    <row r="655" spans="1:20 16371:16384" s="2" customFormat="1">
      <c r="A655" s="3"/>
      <c r="B655" s="4"/>
      <c r="C655" s="5"/>
      <c r="D655" s="15"/>
      <c r="E655" s="16"/>
      <c r="F655" s="3"/>
      <c r="G655" s="8"/>
      <c r="H655" s="8"/>
      <c r="I655" s="8"/>
      <c r="J655" s="9"/>
      <c r="K655" s="9"/>
      <c r="L655" s="9"/>
      <c r="M655" s="9"/>
      <c r="T655"/>
      <c r="XEQ655"/>
      <c r="XER655"/>
      <c r="XES655"/>
      <c r="XET655"/>
      <c r="XEU655"/>
      <c r="XEV655"/>
      <c r="XEW655"/>
      <c r="XEX655"/>
      <c r="XEY655"/>
      <c r="XEZ655"/>
      <c r="XFA655"/>
      <c r="XFB655"/>
      <c r="XFC655"/>
      <c r="XFD655"/>
    </row>
    <row r="656" spans="1:20 16371:16384" s="2" customFormat="1">
      <c r="A656" s="3"/>
      <c r="B656" s="4"/>
      <c r="C656" s="5"/>
      <c r="D656" s="15"/>
      <c r="E656" s="16"/>
      <c r="F656" s="3"/>
      <c r="G656" s="8"/>
      <c r="H656" s="8"/>
      <c r="I656" s="8"/>
      <c r="J656" s="9"/>
      <c r="K656" s="9"/>
      <c r="L656" s="9"/>
      <c r="M656" s="9"/>
      <c r="T656"/>
      <c r="XEQ656"/>
      <c r="XER656"/>
      <c r="XES656"/>
      <c r="XET656"/>
      <c r="XEU656"/>
      <c r="XEV656"/>
      <c r="XEW656"/>
      <c r="XEX656"/>
      <c r="XEY656"/>
      <c r="XEZ656"/>
      <c r="XFA656"/>
      <c r="XFB656"/>
      <c r="XFC656"/>
      <c r="XFD656"/>
    </row>
    <row r="657" spans="1:20 16371:16384" s="2" customFormat="1">
      <c r="A657" s="3"/>
      <c r="B657" s="4"/>
      <c r="C657" s="5"/>
      <c r="D657" s="15"/>
      <c r="E657" s="16"/>
      <c r="F657" s="3"/>
      <c r="G657" s="8"/>
      <c r="H657" s="8"/>
      <c r="I657" s="8"/>
      <c r="J657" s="9"/>
      <c r="K657" s="9"/>
      <c r="L657" s="9"/>
      <c r="M657" s="9"/>
      <c r="T657"/>
      <c r="XEQ657"/>
      <c r="XER657"/>
      <c r="XES657"/>
      <c r="XET657"/>
      <c r="XEU657"/>
      <c r="XEV657"/>
      <c r="XEW657"/>
      <c r="XEX657"/>
      <c r="XEY657"/>
      <c r="XEZ657"/>
      <c r="XFA657"/>
      <c r="XFB657"/>
      <c r="XFC657"/>
      <c r="XFD657"/>
    </row>
    <row r="658" spans="1:20 16371:16384" s="2" customFormat="1">
      <c r="A658" s="3"/>
      <c r="B658" s="4"/>
      <c r="C658" s="5"/>
      <c r="D658" s="15"/>
      <c r="E658" s="16"/>
      <c r="F658" s="3"/>
      <c r="G658" s="8"/>
      <c r="H658" s="8"/>
      <c r="I658" s="8"/>
      <c r="J658" s="9"/>
      <c r="K658" s="9"/>
      <c r="L658" s="9"/>
      <c r="M658" s="9"/>
      <c r="T658"/>
      <c r="XEQ658"/>
      <c r="XER658"/>
      <c r="XES658"/>
      <c r="XET658"/>
      <c r="XEU658"/>
      <c r="XEV658"/>
      <c r="XEW658"/>
      <c r="XEX658"/>
      <c r="XEY658"/>
      <c r="XEZ658"/>
      <c r="XFA658"/>
      <c r="XFB658"/>
      <c r="XFC658"/>
      <c r="XFD658"/>
    </row>
    <row r="659" spans="1:20 16371:16384" s="2" customFormat="1">
      <c r="A659" s="3"/>
      <c r="B659" s="4"/>
      <c r="C659" s="5"/>
      <c r="D659" s="15"/>
      <c r="E659" s="16"/>
      <c r="F659" s="3"/>
      <c r="G659" s="8"/>
      <c r="H659" s="8"/>
      <c r="I659" s="8"/>
      <c r="J659" s="9"/>
      <c r="K659" s="9"/>
      <c r="L659" s="9"/>
      <c r="M659" s="9"/>
      <c r="T659"/>
      <c r="XEQ659"/>
      <c r="XER659"/>
      <c r="XES659"/>
      <c r="XET659"/>
      <c r="XEU659"/>
      <c r="XEV659"/>
      <c r="XEW659"/>
      <c r="XEX659"/>
      <c r="XEY659"/>
      <c r="XEZ659"/>
      <c r="XFA659"/>
      <c r="XFB659"/>
      <c r="XFC659"/>
      <c r="XFD659"/>
    </row>
    <row r="660" spans="1:20 16371:16384" s="2" customFormat="1">
      <c r="A660" s="3"/>
      <c r="B660" s="4"/>
      <c r="C660" s="5"/>
      <c r="D660" s="15"/>
      <c r="E660" s="16"/>
      <c r="F660" s="3"/>
      <c r="G660" s="8"/>
      <c r="H660" s="8"/>
      <c r="I660" s="8"/>
      <c r="J660" s="9"/>
      <c r="K660" s="9"/>
      <c r="L660" s="9"/>
      <c r="M660" s="9"/>
      <c r="T660"/>
      <c r="XEQ660"/>
      <c r="XER660"/>
      <c r="XES660"/>
      <c r="XET660"/>
      <c r="XEU660"/>
      <c r="XEV660"/>
      <c r="XEW660"/>
      <c r="XEX660"/>
      <c r="XEY660"/>
      <c r="XEZ660"/>
      <c r="XFA660"/>
      <c r="XFB660"/>
      <c r="XFC660"/>
      <c r="XFD660"/>
    </row>
    <row r="661" spans="1:20 16371:16384" s="2" customFormat="1">
      <c r="A661" s="3"/>
      <c r="B661" s="4"/>
      <c r="C661" s="5"/>
      <c r="D661" s="15"/>
      <c r="E661" s="16"/>
      <c r="F661" s="3"/>
      <c r="G661" s="8"/>
      <c r="H661" s="8"/>
      <c r="I661" s="8"/>
      <c r="J661" s="9"/>
      <c r="K661" s="9"/>
      <c r="L661" s="9"/>
      <c r="M661" s="9"/>
      <c r="T661"/>
      <c r="XEQ661"/>
      <c r="XER661"/>
      <c r="XES661"/>
      <c r="XET661"/>
      <c r="XEU661"/>
      <c r="XEV661"/>
      <c r="XEW661"/>
      <c r="XEX661"/>
      <c r="XEY661"/>
      <c r="XEZ661"/>
      <c r="XFA661"/>
      <c r="XFB661"/>
      <c r="XFC661"/>
      <c r="XFD661"/>
    </row>
    <row r="662" spans="1:20 16371:16384" s="2" customFormat="1">
      <c r="A662" s="3"/>
      <c r="B662" s="4"/>
      <c r="C662" s="5"/>
      <c r="D662" s="15"/>
      <c r="E662" s="16"/>
      <c r="F662" s="3"/>
      <c r="G662" s="8"/>
      <c r="H662" s="8"/>
      <c r="I662" s="8"/>
      <c r="J662" s="9"/>
      <c r="K662" s="9"/>
      <c r="L662" s="9"/>
      <c r="M662" s="9"/>
      <c r="T662"/>
      <c r="XEQ662"/>
      <c r="XER662"/>
      <c r="XES662"/>
      <c r="XET662"/>
      <c r="XEU662"/>
      <c r="XEV662"/>
      <c r="XEW662"/>
      <c r="XEX662"/>
      <c r="XEY662"/>
      <c r="XEZ662"/>
      <c r="XFA662"/>
      <c r="XFB662"/>
      <c r="XFC662"/>
      <c r="XFD662"/>
    </row>
    <row r="663" spans="1:20 16371:16384" s="2" customFormat="1">
      <c r="A663" s="3"/>
      <c r="B663" s="4"/>
      <c r="C663" s="5"/>
      <c r="D663" s="15"/>
      <c r="E663" s="16"/>
      <c r="F663" s="3"/>
      <c r="G663" s="8"/>
      <c r="H663" s="8"/>
      <c r="I663" s="8"/>
      <c r="J663" s="9"/>
      <c r="K663" s="9"/>
      <c r="L663" s="9"/>
      <c r="M663" s="9"/>
      <c r="T663"/>
      <c r="XEQ663"/>
      <c r="XER663"/>
      <c r="XES663"/>
      <c r="XET663"/>
      <c r="XEU663"/>
      <c r="XEV663"/>
      <c r="XEW663"/>
      <c r="XEX663"/>
      <c r="XEY663"/>
      <c r="XEZ663"/>
      <c r="XFA663"/>
      <c r="XFB663"/>
      <c r="XFC663"/>
      <c r="XFD663"/>
    </row>
    <row r="664" spans="1:20 16371:16384" s="2" customFormat="1">
      <c r="A664" s="3"/>
      <c r="B664" s="4"/>
      <c r="C664" s="5"/>
      <c r="D664" s="15"/>
      <c r="E664" s="16"/>
      <c r="F664" s="3"/>
      <c r="G664" s="8"/>
      <c r="H664" s="8"/>
      <c r="I664" s="8"/>
      <c r="J664" s="9"/>
      <c r="K664" s="9"/>
      <c r="L664" s="9"/>
      <c r="M664" s="9"/>
      <c r="T664"/>
      <c r="XEQ664"/>
      <c r="XER664"/>
      <c r="XES664"/>
      <c r="XET664"/>
      <c r="XEU664"/>
      <c r="XEV664"/>
      <c r="XEW664"/>
      <c r="XEX664"/>
      <c r="XEY664"/>
      <c r="XEZ664"/>
      <c r="XFA664"/>
      <c r="XFB664"/>
      <c r="XFC664"/>
      <c r="XFD664"/>
    </row>
    <row r="665" spans="1:20 16371:16384" s="2" customFormat="1">
      <c r="A665" s="3"/>
      <c r="B665" s="4"/>
      <c r="C665" s="5"/>
      <c r="D665" s="15"/>
      <c r="E665" s="16"/>
      <c r="F665" s="3"/>
      <c r="G665" s="8"/>
      <c r="H665" s="8"/>
      <c r="I665" s="8"/>
      <c r="J665" s="9"/>
      <c r="K665" s="9"/>
      <c r="L665" s="9"/>
      <c r="M665" s="9"/>
      <c r="T665"/>
      <c r="XEQ665"/>
      <c r="XER665"/>
      <c r="XES665"/>
      <c r="XET665"/>
      <c r="XEU665"/>
      <c r="XEV665"/>
      <c r="XEW665"/>
      <c r="XEX665"/>
      <c r="XEY665"/>
      <c r="XEZ665"/>
      <c r="XFA665"/>
      <c r="XFB665"/>
      <c r="XFC665"/>
      <c r="XFD665"/>
    </row>
    <row r="666" spans="1:20 16371:16384" s="2" customFormat="1">
      <c r="A666" s="3"/>
      <c r="B666" s="4"/>
      <c r="C666" s="5"/>
      <c r="D666" s="15"/>
      <c r="E666" s="16"/>
      <c r="F666" s="3"/>
      <c r="G666" s="8"/>
      <c r="H666" s="8"/>
      <c r="I666" s="8"/>
      <c r="J666" s="9"/>
      <c r="K666" s="9"/>
      <c r="L666" s="9"/>
      <c r="M666" s="9"/>
      <c r="T666"/>
      <c r="XEQ666"/>
      <c r="XER666"/>
      <c r="XES666"/>
      <c r="XET666"/>
      <c r="XEU666"/>
      <c r="XEV666"/>
      <c r="XEW666"/>
      <c r="XEX666"/>
      <c r="XEY666"/>
      <c r="XEZ666"/>
      <c r="XFA666"/>
      <c r="XFB666"/>
      <c r="XFC666"/>
      <c r="XFD666"/>
    </row>
    <row r="667" spans="1:20 16371:16384" s="2" customFormat="1">
      <c r="A667" s="3"/>
      <c r="B667" s="4"/>
      <c r="C667" s="5"/>
      <c r="D667" s="15"/>
      <c r="E667" s="16"/>
      <c r="F667" s="3"/>
      <c r="G667" s="8"/>
      <c r="H667" s="8"/>
      <c r="I667" s="8"/>
      <c r="J667" s="9"/>
      <c r="K667" s="9"/>
      <c r="L667" s="9"/>
      <c r="M667" s="9"/>
      <c r="P667" s="10"/>
      <c r="T667"/>
      <c r="XEQ667"/>
      <c r="XER667"/>
      <c r="XES667"/>
      <c r="XET667"/>
      <c r="XEU667"/>
      <c r="XEV667"/>
      <c r="XEW667"/>
      <c r="XEX667"/>
      <c r="XEY667"/>
      <c r="XEZ667"/>
      <c r="XFA667"/>
      <c r="XFB667"/>
      <c r="XFC667"/>
      <c r="XFD667"/>
    </row>
    <row r="668" spans="1:20 16371:16384" s="2" customFormat="1">
      <c r="A668" s="3"/>
      <c r="B668" s="4"/>
      <c r="C668" s="5"/>
      <c r="D668" s="15"/>
      <c r="E668" s="16"/>
      <c r="F668" s="3"/>
      <c r="G668" s="8"/>
      <c r="H668" s="8"/>
      <c r="I668" s="8"/>
      <c r="J668" s="9"/>
      <c r="K668" s="9"/>
      <c r="L668" s="9"/>
      <c r="M668" s="9"/>
      <c r="P668" s="10"/>
      <c r="T668"/>
      <c r="XEQ668"/>
      <c r="XER668"/>
      <c r="XES668"/>
      <c r="XET668"/>
      <c r="XEU668"/>
      <c r="XEV668"/>
      <c r="XEW668"/>
      <c r="XEX668"/>
      <c r="XEY668"/>
      <c r="XEZ668"/>
      <c r="XFA668"/>
      <c r="XFB668"/>
      <c r="XFC668"/>
      <c r="XFD668"/>
    </row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conditionalFormatting sqref="M1">
    <cfRule type="containsText" dxfId="2" priority="1" operator="containsText" text="未">
      <formula>NOT(ISERROR(SEARCH("未",M1)))</formula>
    </cfRule>
  </conditionalFormatting>
  <conditionalFormatting sqref="D1 D2 D3 D4 D5 D6 D7 D8 D9:D15 D121:D1048215">
    <cfRule type="duplicateValues" dxfId="1" priority="3"/>
  </conditionalFormatting>
  <conditionalFormatting sqref="I2:M1048215 I1:L1">
    <cfRule type="containsText" dxfId="0" priority="2" operator="containsText" text="未">
      <formula>NOT(ISERROR(SEARCH("未",I1)))</formula>
    </cfRule>
  </conditionalFormatting>
  <dataValidations count="3">
    <dataValidation type="list" allowBlank="1" showInputMessage="1" showErrorMessage="1" sqref="B2:B8" xr:uid="{00000000-0002-0000-0400-000000000000}">
      <formula1>$W$3:$W$23</formula1>
    </dataValidation>
    <dataValidation type="list" allowBlank="1" showInputMessage="1" showErrorMessage="1" sqref="E2:E5" xr:uid="{00000000-0002-0000-0400-000001000000}">
      <formula1>$V$3:$V$6</formula1>
    </dataValidation>
    <dataValidation type="list" allowBlank="1" showInputMessage="1" showErrorMessage="1" sqref="F2:F8" xr:uid="{00000000-0002-0000-0400-000002000000}">
      <formula1>$U$3:$U$44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总览Dashboard</vt:lpstr>
      <vt:lpstr>中文书目</vt:lpstr>
      <vt:lpstr>Sheet1</vt:lpstr>
      <vt:lpstr>目录</vt:lpstr>
      <vt:lpstr>翻译对照表</vt:lpstr>
      <vt:lpstr>英文书目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Ge Ji</cp:lastModifiedBy>
  <cp:lastPrinted>2022-03-25T13:54:00Z</cp:lastPrinted>
  <dcterms:created xsi:type="dcterms:W3CDTF">2022-03-21T12:51:00Z</dcterms:created>
  <dcterms:modified xsi:type="dcterms:W3CDTF">2025-10-15T12:12:00Z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D80F835ABAA040A189A9E4E72C1D3395_13</vt:lpwstr>
  </property>
  <property fmtid="{D5CDD505-2E9C-101B-9397-08002B2CF9AE}" pid="3" name="KSOProductBuildVer">
    <vt:lpwstr>2052-12.1.0.22529</vt:lpwstr>
  </property>
</Properties>
</file>